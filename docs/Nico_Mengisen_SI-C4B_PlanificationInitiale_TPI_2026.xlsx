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302" documentId="8_{ABB8FDDC-F21C-470E-B37C-21F80064F577}" xr6:coauthVersionLast="47" xr6:coauthVersionMax="47" xr10:uidLastSave="{367BCC52-3409-4AC4-B8FE-5131D5FCD8B3}"/>
  <bookViews>
    <workbookView xWindow="-120" yWindow="-120" windowWidth="29040" windowHeight="15720" xr2:uid="{00000000-000D-0000-FFFF-FFFF00000000}"/>
  </bookViews>
  <sheets>
    <sheet name="Pré-TPI - Nico Mengisen" sheetId="11" r:id="rId1"/>
  </sheets>
  <definedNames>
    <definedName name="avancement_tâche" localSheetId="0">'Pré-TPI - Nico Mengisen'!$F1</definedName>
    <definedName name="ce_jour" localSheetId="0">TODAY()</definedName>
    <definedName name="Début_Projet">'Pré-TPI - Nico Mengisen'!$G$3</definedName>
    <definedName name="début_tâche" localSheetId="0">'Pré-TPI - Nico Mengisen'!$G1</definedName>
    <definedName name="fin_tâche" localSheetId="0">'Pré-TPI - Nico Mengisen'!$H1</definedName>
    <definedName name="_xlnm.Print_Titles" localSheetId="0">'Pré-TPI - Nico Mengisen'!$4:$6</definedName>
    <definedName name="Semaine_Affichage">'Pré-TPI - Nico Mengisen'!$G$4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1" l="1"/>
  <c r="G9" i="11" s="1"/>
  <c r="J46" i="11"/>
  <c r="J39" i="11"/>
  <c r="J7" i="11"/>
  <c r="H9" i="11" l="1"/>
  <c r="G10" i="11" s="1"/>
  <c r="H10" i="11" s="1"/>
  <c r="J21" i="11"/>
  <c r="K5" i="11"/>
  <c r="J31" i="11"/>
  <c r="J27" i="11"/>
  <c r="J26" i="11"/>
  <c r="J24" i="11"/>
  <c r="J20" i="11"/>
  <c r="J19" i="11"/>
  <c r="J13" i="11"/>
  <c r="J8" i="11"/>
  <c r="K6" i="11" l="1"/>
  <c r="K4" i="11"/>
  <c r="J9" i="11"/>
  <c r="G11" i="11"/>
  <c r="J25" i="11" l="1"/>
  <c r="J10" i="11"/>
  <c r="J22" i="11"/>
  <c r="J14" i="11"/>
  <c r="L5" i="11"/>
  <c r="M5" i="11" l="1"/>
  <c r="N5" i="11" l="1"/>
  <c r="O5" i="11" s="1"/>
  <c r="P5" i="11" l="1"/>
  <c r="Q5" i="11" l="1"/>
  <c r="R5" i="11" l="1"/>
  <c r="R6" i="11" s="1"/>
  <c r="Q6" i="11"/>
  <c r="P6" i="11"/>
  <c r="O6" i="11"/>
  <c r="N6" i="11"/>
  <c r="M6" i="11"/>
  <c r="L6" i="11"/>
  <c r="J15" i="11" l="1"/>
  <c r="J11" i="11"/>
  <c r="J12" i="11"/>
  <c r="R4" i="11"/>
  <c r="S5" i="11"/>
  <c r="T5" i="11" l="1"/>
  <c r="U5" i="11" l="1"/>
  <c r="V5" i="11" l="1"/>
  <c r="W5" i="11" l="1"/>
  <c r="X5" i="11" l="1"/>
  <c r="Y5" i="11" l="1"/>
  <c r="Y6" i="11" s="1"/>
  <c r="X6" i="11"/>
  <c r="W6" i="11"/>
  <c r="V6" i="11"/>
  <c r="U6" i="11"/>
  <c r="T6" i="11"/>
  <c r="S6" i="11"/>
  <c r="J16" i="11"/>
  <c r="Y4" i="11" l="1"/>
  <c r="Z5" i="11"/>
  <c r="AA5" i="11" s="1"/>
  <c r="AB5" i="11" l="1"/>
  <c r="AC5" i="11" l="1"/>
  <c r="AD5" i="11" l="1"/>
  <c r="AE5" i="11" l="1"/>
  <c r="AF5" i="11" l="1"/>
  <c r="AF6" i="11" s="1"/>
  <c r="AE6" i="11"/>
  <c r="AD6" i="11"/>
  <c r="AC6" i="11"/>
  <c r="AB6" i="11"/>
  <c r="AA6" i="11"/>
  <c r="Z6" i="11"/>
  <c r="AG5" i="11" l="1"/>
  <c r="AH5" i="11" s="1"/>
  <c r="AI5" i="11" l="1"/>
  <c r="AJ5" i="11" l="1"/>
  <c r="AK5" i="11" l="1"/>
  <c r="AL5" i="11" l="1"/>
  <c r="AL6" i="11" s="1"/>
  <c r="AK6" i="11"/>
  <c r="AJ6" i="11"/>
  <c r="AI6" i="11"/>
  <c r="AH6" i="11"/>
  <c r="AG6" i="11"/>
  <c r="AF4" i="11"/>
  <c r="AM5" i="11" l="1"/>
  <c r="AN5" i="11" l="1"/>
  <c r="AO5" i="11" l="1"/>
  <c r="AP5" i="11" l="1"/>
  <c r="AQ5" i="11" l="1"/>
  <c r="AR5" i="11" l="1"/>
  <c r="AS5" i="11" l="1"/>
  <c r="AS6" i="11" s="1"/>
  <c r="AR6" i="11"/>
  <c r="AQ6" i="11"/>
  <c r="AP6" i="11"/>
  <c r="AO6" i="11"/>
  <c r="AN6" i="11"/>
  <c r="AM6" i="11"/>
  <c r="AT5" i="11" l="1"/>
  <c r="AU5" i="11" s="1"/>
  <c r="AU6" i="11" s="1"/>
  <c r="AM4" i="11"/>
  <c r="AT6" i="11" l="1"/>
  <c r="AV5" i="11"/>
  <c r="AV6" i="11" s="1"/>
  <c r="AT4" i="11"/>
  <c r="AW5" i="11" l="1"/>
  <c r="AW6" i="11" s="1"/>
  <c r="AX5" i="11" l="1"/>
  <c r="AX6" i="11" s="1"/>
  <c r="AY5" i="11" l="1"/>
  <c r="AY6" i="11" s="1"/>
  <c r="AZ5" i="11" l="1"/>
  <c r="BA5" i="11" l="1"/>
  <c r="BA6" i="11" s="1"/>
  <c r="AZ6" i="11"/>
  <c r="BB5" i="11" l="1"/>
  <c r="BB6" i="11" s="1"/>
  <c r="BA4" i="11"/>
  <c r="BC5" i="11" l="1"/>
  <c r="BC6" i="11" s="1"/>
  <c r="BD5" i="11" l="1"/>
  <c r="BD6" i="11" s="1"/>
  <c r="BE5" i="11" l="1"/>
  <c r="BE6" i="11" s="1"/>
  <c r="BF5" i="11" l="1"/>
  <c r="BF6" i="11" s="1"/>
  <c r="BG5" i="11" l="1"/>
  <c r="BG6" i="11" s="1"/>
  <c r="BH5" i="11" l="1"/>
  <c r="BH6" i="11" s="1"/>
  <c r="BH4" i="11" l="1"/>
  <c r="BI5" i="11"/>
  <c r="BI6" i="11" s="1"/>
  <c r="BJ5" i="11" l="1"/>
  <c r="BJ6" i="11" s="1"/>
  <c r="BK5" i="11" l="1"/>
  <c r="BK6" i="11" s="1"/>
  <c r="BL5" i="11" l="1"/>
  <c r="BL6" i="11" s="1"/>
  <c r="BM5" i="11" l="1"/>
  <c r="BM6" i="11" s="1"/>
  <c r="BN5" i="11" l="1"/>
  <c r="BN6" i="11" s="1"/>
</calcChain>
</file>

<file path=xl/sharedStrings.xml><?xml version="1.0" encoding="utf-8"?>
<sst xmlns="http://schemas.openxmlformats.org/spreadsheetml/2006/main" count="191" uniqueCount="86">
  <si>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</si>
  <si>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</si>
  <si>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Centre Professionnel du Nord Vaudois</t>
  </si>
  <si>
    <t>Entrez le nom du chef de projet dans la cellule B3. Entrez la date de début du projet dans la cellule E3. Début du projet : l’étiquette figure dans la cellule C3.</t>
  </si>
  <si>
    <t>Chef de projet : Julien Savary
Candidat : Nico Mengisen</t>
  </si>
  <si>
    <t>Début du projet :</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</si>
  <si>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</si>
  <si>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Semaine d’affichage :</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</si>
  <si>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</si>
  <si>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</si>
  <si>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TÂCHE</t>
  </si>
  <si>
    <t>Temps Estimé</t>
  </si>
  <si>
    <t>PRIORITÉ</t>
  </si>
  <si>
    <t>AVANCEMENT</t>
  </si>
  <si>
    <t>DÉBUT</t>
  </si>
  <si>
    <t>FIN</t>
  </si>
  <si>
    <t>JOURS</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</si>
  <si>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</si>
  <si>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</si>
  <si>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</si>
  <si>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</si>
  <si>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1.3 Analyse détaillée des besoins (Relecture du cahier des charges, listage les fonctionnalités)</t>
  </si>
  <si>
    <t>1.4 Planification du projet en format Gantt</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</si>
  <si>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</si>
  <si>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date</t>
  </si>
  <si>
    <t>Exemple de bloc de titre de phase</t>
  </si>
  <si>
    <t>3.1 Création de la BDD via SQLAlchemy</t>
  </si>
  <si>
    <t>Ceci est une ligne vide.</t>
  </si>
  <si>
    <t>1.1 Installation de l'environnement de travail (Python, VS Code, Git, Dossiers)</t>
  </si>
  <si>
    <t>1h</t>
  </si>
  <si>
    <t>30min</t>
  </si>
  <si>
    <t>1h30</t>
  </si>
  <si>
    <t>8.1 Rédaction du rapport de projet</t>
  </si>
  <si>
    <t>Élevée</t>
  </si>
  <si>
    <t>Normale</t>
  </si>
  <si>
    <t>Faible</t>
  </si>
  <si>
    <t>45min</t>
  </si>
  <si>
    <t>Phase 6 - Implémentation 4 | Finitions</t>
  </si>
  <si>
    <t>Phase 3 - Implémentation 1 | Backbone</t>
  </si>
  <si>
    <t>Phase 2 - Conception</t>
  </si>
  <si>
    <t>Phase 1 – Initialisation et analyse</t>
  </si>
  <si>
    <t>2.5 Définition des modèles (SQLAlchemy) et des routes principales</t>
  </si>
  <si>
    <t>2.4 Définition de l’architecture (Flask, structure des dossiers)</t>
  </si>
  <si>
    <t>2.3 Maquettage (wireframes Balsamiq : accueil, dashboard admin, interface utilisateur)</t>
  </si>
  <si>
    <t>2.2 Modélisation de la base de données (MCD / MLD)</t>
  </si>
  <si>
    <t>2.1 Analyse fonctionnelle (acteurs, cas d’utilisation, exigences)</t>
  </si>
  <si>
    <t>3.2 Mise en place du projet Flask (structure, configuration)</t>
  </si>
  <si>
    <t>3.4 Templates de base (header, footer, navbar)</t>
  </si>
  <si>
    <t>3.3 Création du système d’authentification (register, login, logout)</t>
  </si>
  <si>
    <t>Phase 4 – Implémentation 2 | Gestion des œuvres (Artistes &amp; Admin)</t>
  </si>
  <si>
    <t>4.1 CRUD des œuvres (ajout, modification, suppression, upload image)</t>
  </si>
  <si>
    <t>4.2 Affichage des œuvres (grille / détail)</t>
  </si>
  <si>
    <t>4.3 Gestion des rôles (utilisateur, artiste, administrateur)</t>
  </si>
  <si>
    <t>4.4 Sécurisation des routes (accès selon les rôles)</t>
  </si>
  <si>
    <t>Phase 5 – Implémentation 3 | Fonctionnalités utilisateur</t>
  </si>
  <si>
    <t>5.1 Navigation et affichage des œuvres</t>
  </si>
  <si>
    <t>5.2 Recherche et filtres (avec justification)</t>
  </si>
  <si>
    <t>5.3 Système de panier</t>
  </si>
  <si>
    <t>5.4 Processus d’achat (commande + confirmation)</t>
  </si>
  <si>
    <t>5.5 Historique des commandes</t>
  </si>
  <si>
    <t>5.6 Espace profil utilisateur</t>
  </si>
  <si>
    <t>5.7 Newsletter</t>
  </si>
  <si>
    <t>6.1 Dashboard administrateur (gestion utilisateurs, œuvres, commandes)</t>
  </si>
  <si>
    <t>6.2 Réinitialisation du mot de passe (via e-mail)</t>
  </si>
  <si>
    <t>6.3 Sécurisation des données (hash des mots de passe + justification)</t>
  </si>
  <si>
    <t>6.4 Responsive design (PC, mobile, tablette)</t>
  </si>
  <si>
    <t>6.5 Stylisation (CSS, JS)</t>
  </si>
  <si>
    <t>6.6 Intégration du logo et favicon</t>
  </si>
  <si>
    <t>Phase 7 – Tests et validation</t>
  </si>
  <si>
    <t>7.1 Mise en place des tests (unitaires et fonctionnels)</t>
  </si>
  <si>
    <t>7.2 Tests des fonctionnalités principales</t>
  </si>
  <si>
    <t>7.3 Tests des cas limites (erreurs, champs vides, etc.)</t>
  </si>
  <si>
    <t>7.4 Tests cross-browser et responsive</t>
  </si>
  <si>
    <t>7.5 Correction des bugs</t>
  </si>
  <si>
    <t>Phase 8 – Documentation et clôture</t>
  </si>
  <si>
    <t>8.2 Mise à jour du journal de travail</t>
  </si>
  <si>
    <t>8.3 Préparation du rendu final</t>
  </si>
  <si>
    <t>8.4 Réserve pour imprévus</t>
  </si>
  <si>
    <t>4h</t>
  </si>
  <si>
    <t>3h</t>
  </si>
  <si>
    <t>2h</t>
  </si>
  <si>
    <t>5h</t>
  </si>
  <si>
    <t>Plannification TPI - 23 avril au 21 mai</t>
  </si>
  <si>
    <t>10min</t>
  </si>
  <si>
    <t>8h</t>
  </si>
  <si>
    <t>Durée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</si>
</sst>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d/m/yy;@"/>
    <numFmt numFmtId="170" formatCode="d\ mmm\ yyyy"/>
    <numFmt numFmtId="171"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11"/>
      <color rgb="FF000000"/>
      <name val="Calibri"/>
      <family val="2"/>
      <scheme val="minor"/>
    </font>
  </fonts>
  <fills count="50">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EDCC9"/>
        <bgColor indexed="64"/>
      </patternFill>
    </fill>
    <fill>
      <patternFill patternType="solid">
        <fgColor rgb="FFDFEDE1"/>
        <bgColor indexed="64"/>
      </patternFill>
    </fill>
    <fill>
      <patternFill patternType="solid">
        <fgColor rgb="FFECE0E0"/>
        <bgColor indexed="64"/>
      </patternFill>
    </fill>
    <fill>
      <patternFill patternType="solid">
        <fgColor rgb="FFDAC0C0"/>
        <bgColor indexed="64"/>
      </patternFill>
    </fill>
    <fill>
      <patternFill patternType="solid">
        <fgColor rgb="FFDCE6F1"/>
        <bgColor rgb="FF000000"/>
      </patternFill>
    </fill>
    <fill>
      <patternFill patternType="solid">
        <fgColor rgb="FFFF0000"/>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D9D9D9"/>
      </top>
      <bottom style="medium">
        <color rgb="FFD9D9D9"/>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4"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69"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7"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8" fillId="0" borderId="0" applyNumberFormat="0" applyFill="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1" fillId="15" borderId="0" applyNumberFormat="0" applyBorder="0" applyAlignment="0" applyProtection="0"/>
    <xf numFmtId="0" fontId="22" fillId="16" borderId="11" applyNumberFormat="0" applyAlignment="0" applyProtection="0"/>
    <xf numFmtId="0" fontId="23" fillId="17" borderId="12" applyNumberFormat="0" applyAlignment="0" applyProtection="0"/>
    <xf numFmtId="0" fontId="24" fillId="17" borderId="11" applyNumberFormat="0" applyAlignment="0" applyProtection="0"/>
    <xf numFmtId="0" fontId="25" fillId="0" borderId="13" applyNumberFormat="0" applyFill="0" applyAlignment="0" applyProtection="0"/>
    <xf numFmtId="0" fontId="26" fillId="18" borderId="14" applyNumberFormat="0" applyAlignment="0" applyProtection="0"/>
    <xf numFmtId="0" fontId="27" fillId="0" borderId="0" applyNumberFormat="0" applyFill="0" applyBorder="0" applyAlignment="0" applyProtection="0"/>
    <xf numFmtId="0" fontId="7" fillId="19" borderId="15" applyNumberFormat="0" applyFont="0" applyAlignment="0" applyProtection="0"/>
    <xf numFmtId="0" fontId="28" fillId="0" borderId="0" applyNumberFormat="0" applyFill="0" applyBorder="0" applyAlignment="0" applyProtection="0"/>
    <xf numFmtId="0" fontId="5" fillId="0" borderId="16" applyNumberFormat="0" applyFill="0" applyAlignment="0" applyProtection="0"/>
    <xf numFmtId="0" fontId="14"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4"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4"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4"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4"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4"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109">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14"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6"/>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0" fillId="0" borderId="10" xfId="0" applyBorder="1"/>
    <xf numFmtId="0" fontId="15" fillId="0" borderId="0" xfId="0" applyFont="1"/>
    <xf numFmtId="0" fontId="16" fillId="0" borderId="0" xfId="1" applyFont="1" applyProtection="1">
      <alignment vertical="top"/>
    </xf>
    <xf numFmtId="169" fontId="0" fillId="7" borderId="2" xfId="0" applyNumberFormat="1" applyFill="1" applyBorder="1" applyAlignment="1">
      <alignment horizontal="center" vertical="center"/>
    </xf>
    <xf numFmtId="169" fontId="4" fillId="7" borderId="2" xfId="0" applyNumberFormat="1" applyFont="1" applyFill="1" applyBorder="1" applyAlignment="1">
      <alignment horizontal="center" vertical="center"/>
    </xf>
    <xf numFmtId="169" fontId="7" fillId="2" borderId="2" xfId="10" applyFill="1">
      <alignment horizontal="center" vertical="center"/>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7" fillId="3" borderId="2" xfId="10" applyFill="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7" fillId="10" borderId="2" xfId="10" applyFill="1">
      <alignment horizontal="center" vertical="center"/>
    </xf>
    <xf numFmtId="169" fontId="0" fillId="4" borderId="2" xfId="0" applyNumberFormat="1" applyFill="1" applyBorder="1" applyAlignment="1">
      <alignment horizontal="center" vertical="center"/>
    </xf>
    <xf numFmtId="169" fontId="4" fillId="4" borderId="2" xfId="0" applyNumberFormat="1" applyFont="1" applyFill="1" applyBorder="1" applyAlignment="1">
      <alignment horizontal="center" vertical="center"/>
    </xf>
    <xf numFmtId="169" fontId="7" fillId="9" borderId="2" xfId="10" applyFill="1">
      <alignment horizontal="center" vertical="center"/>
    </xf>
    <xf numFmtId="171" fontId="9" fillId="6" borderId="6" xfId="0" applyNumberFormat="1" applyFont="1" applyFill="1" applyBorder="1" applyAlignment="1">
      <alignment horizontal="center" vertical="center"/>
    </xf>
    <xf numFmtId="171" fontId="9" fillId="6" borderId="0" xfId="0" applyNumberFormat="1" applyFont="1" applyFill="1" applyAlignment="1">
      <alignment horizontal="center" vertical="center"/>
    </xf>
    <xf numFmtId="171" fontId="9" fillId="6" borderId="7" xfId="0" applyNumberFormat="1" applyFont="1" applyFill="1" applyBorder="1" applyAlignment="1">
      <alignment horizontal="center" vertical="center"/>
    </xf>
    <xf numFmtId="0" fontId="8" fillId="0" borderId="0" xfId="7" applyAlignment="1">
      <alignment vertical="top" wrapText="1"/>
    </xf>
    <xf numFmtId="0" fontId="7" fillId="38" borderId="2" xfId="48" applyBorder="1" applyAlignment="1">
      <alignment horizontal="center" vertical="center"/>
    </xf>
    <xf numFmtId="9" fontId="7" fillId="38" borderId="2" xfId="48" applyNumberFormat="1" applyBorder="1" applyAlignment="1">
      <alignment horizontal="center" vertical="center"/>
    </xf>
    <xf numFmtId="169" fontId="7" fillId="38" borderId="2" xfId="48" applyNumberFormat="1" applyBorder="1" applyAlignment="1">
      <alignment horizontal="center" vertical="center"/>
    </xf>
    <xf numFmtId="0" fontId="5" fillId="38" borderId="2" xfId="48" applyFont="1" applyBorder="1" applyAlignment="1">
      <alignment horizontal="left" vertical="center" indent="1"/>
    </xf>
    <xf numFmtId="0" fontId="5" fillId="42" borderId="2" xfId="52" applyFont="1" applyBorder="1" applyAlignment="1">
      <alignment horizontal="left" vertical="center" indent="1"/>
    </xf>
    <xf numFmtId="0" fontId="5" fillId="42" borderId="2" xfId="52" applyFont="1" applyBorder="1" applyAlignment="1">
      <alignment horizontal="center" vertical="center"/>
    </xf>
    <xf numFmtId="9" fontId="5" fillId="42" borderId="2" xfId="52" applyNumberFormat="1" applyFont="1" applyBorder="1" applyAlignment="1">
      <alignment horizontal="center" vertical="center"/>
    </xf>
    <xf numFmtId="169" fontId="5" fillId="42" borderId="2" xfId="52" applyNumberFormat="1" applyFont="1" applyBorder="1" applyAlignment="1">
      <alignment horizontal="center" vertical="center"/>
    </xf>
    <xf numFmtId="0" fontId="7" fillId="37" borderId="2" xfId="47" applyBorder="1" applyAlignment="1">
      <alignment horizontal="left" vertical="center" indent="2"/>
    </xf>
    <xf numFmtId="0" fontId="7" fillId="37" borderId="2" xfId="47" applyBorder="1" applyAlignment="1">
      <alignment horizontal="center" vertical="center"/>
    </xf>
    <xf numFmtId="9" fontId="7" fillId="37" borderId="2" xfId="47" applyNumberFormat="1" applyBorder="1" applyAlignment="1">
      <alignment horizontal="center" vertical="center"/>
    </xf>
    <xf numFmtId="169" fontId="7" fillId="37" borderId="2" xfId="47" applyNumberFormat="1" applyBorder="1" applyAlignment="1">
      <alignment horizontal="center" vertical="center"/>
    </xf>
    <xf numFmtId="0" fontId="7" fillId="41" borderId="2" xfId="51" applyBorder="1" applyAlignment="1">
      <alignment horizontal="left" vertical="center" indent="2"/>
    </xf>
    <xf numFmtId="0" fontId="7" fillId="41" borderId="2" xfId="51" applyBorder="1" applyAlignment="1">
      <alignment horizontal="center" vertical="center"/>
    </xf>
    <xf numFmtId="9" fontId="7" fillId="41" borderId="2" xfId="51" applyNumberFormat="1" applyBorder="1" applyAlignment="1">
      <alignment horizontal="center" vertical="center"/>
    </xf>
    <xf numFmtId="169" fontId="7" fillId="41" borderId="2" xfId="51" applyNumberFormat="1" applyBorder="1" applyAlignment="1">
      <alignment horizontal="center" vertical="center"/>
    </xf>
    <xf numFmtId="0" fontId="5" fillId="44" borderId="2" xfId="0" applyFont="1" applyFill="1" applyBorder="1" applyAlignment="1">
      <alignment horizontal="left" vertical="center" indent="1"/>
    </xf>
    <xf numFmtId="0" fontId="7" fillId="44" borderId="2" xfId="11" applyFill="1">
      <alignment horizontal="center" vertical="center"/>
    </xf>
    <xf numFmtId="9" fontId="4" fillId="44" borderId="2" xfId="2" applyFont="1" applyFill="1" applyBorder="1" applyAlignment="1">
      <alignment horizontal="center" vertical="center"/>
    </xf>
    <xf numFmtId="169" fontId="0" fillId="44" borderId="2" xfId="0" applyNumberFormat="1" applyFill="1" applyBorder="1" applyAlignment="1">
      <alignment horizontal="center" vertical="center"/>
    </xf>
    <xf numFmtId="169" fontId="4" fillId="44" borderId="2" xfId="0" applyNumberFormat="1" applyFont="1" applyFill="1" applyBorder="1" applyAlignment="1">
      <alignment horizontal="center" vertical="center"/>
    </xf>
    <xf numFmtId="0" fontId="7" fillId="45" borderId="2" xfId="12" applyFill="1">
      <alignment horizontal="left" vertical="center" indent="2"/>
    </xf>
    <xf numFmtId="0" fontId="7" fillId="45" borderId="2" xfId="11" applyFill="1">
      <alignment horizontal="center" vertical="center"/>
    </xf>
    <xf numFmtId="9" fontId="4" fillId="45" borderId="2" xfId="2" applyFont="1" applyFill="1" applyBorder="1" applyAlignment="1">
      <alignment horizontal="center" vertical="center"/>
    </xf>
    <xf numFmtId="169" fontId="7" fillId="45" borderId="2" xfId="10" applyFill="1">
      <alignment horizontal="center" vertical="center"/>
    </xf>
    <xf numFmtId="0" fontId="7" fillId="46" borderId="2" xfId="12" applyFill="1">
      <alignment horizontal="left" vertical="center" indent="2"/>
    </xf>
    <xf numFmtId="0" fontId="7" fillId="46" borderId="2" xfId="11" applyFill="1">
      <alignment horizontal="center" vertical="center"/>
    </xf>
    <xf numFmtId="9" fontId="4" fillId="46" borderId="2" xfId="2" applyFont="1" applyFill="1" applyBorder="1" applyAlignment="1">
      <alignment horizontal="center" vertical="center"/>
    </xf>
    <xf numFmtId="169" fontId="7" fillId="46" borderId="2" xfId="10" applyFill="1">
      <alignment horizontal="center" vertical="center"/>
    </xf>
    <xf numFmtId="0" fontId="5" fillId="47" borderId="2" xfId="0" applyFont="1" applyFill="1" applyBorder="1" applyAlignment="1">
      <alignment horizontal="left" vertical="center" indent="1"/>
    </xf>
    <xf numFmtId="0" fontId="7" fillId="47" borderId="2" xfId="11" applyFill="1">
      <alignment horizontal="center" vertical="center"/>
    </xf>
    <xf numFmtId="9" fontId="4" fillId="47" borderId="2" xfId="2" applyFont="1" applyFill="1" applyBorder="1" applyAlignment="1">
      <alignment horizontal="center" vertical="center"/>
    </xf>
    <xf numFmtId="169" fontId="0" fillId="47" borderId="2" xfId="0" applyNumberFormat="1" applyFill="1" applyBorder="1" applyAlignment="1">
      <alignment horizontal="center" vertical="center"/>
    </xf>
    <xf numFmtId="169" fontId="4" fillId="47" borderId="2" xfId="0" applyNumberFormat="1" applyFont="1" applyFill="1" applyBorder="1" applyAlignment="1">
      <alignment horizontal="center" vertical="center"/>
    </xf>
    <xf numFmtId="0" fontId="30" fillId="48" borderId="17" xfId="0" applyFont="1" applyFill="1" applyBorder="1" applyAlignment="1">
      <alignment horizontal="left" vertical="center" indent="2"/>
    </xf>
    <xf numFmtId="9" fontId="4" fillId="45" borderId="0" xfId="2" applyFont="1" applyFill="1" applyBorder="1" applyAlignment="1">
      <alignment horizontal="center" vertical="center"/>
    </xf>
    <xf numFmtId="0" fontId="7" fillId="0" borderId="0" xfId="8">
      <alignment horizontal="right" indent="1"/>
    </xf>
    <xf numFmtId="0" fontId="7" fillId="0" borderId="7" xfId="8" applyBorder="1">
      <alignment horizontal="right" indent="1"/>
    </xf>
    <xf numFmtId="170" fontId="0" fillId="6" borderId="4" xfId="0" applyNumberFormat="1" applyFill="1" applyBorder="1" applyAlignment="1">
      <alignment horizontal="left" vertical="center" wrapText="1" indent="1"/>
    </xf>
    <xf numFmtId="170" fontId="0" fillId="6" borderId="1" xfId="0" applyNumberFormat="1" applyFill="1" applyBorder="1" applyAlignment="1">
      <alignment horizontal="left" vertical="center" wrapText="1" indent="1"/>
    </xf>
    <xf numFmtId="170" fontId="0" fillId="6" borderId="5" xfId="0" applyNumberFormat="1" applyFill="1" applyBorder="1" applyAlignment="1">
      <alignment horizontal="left" vertical="center" wrapText="1" indent="1"/>
    </xf>
    <xf numFmtId="168" fontId="7" fillId="0" borderId="3" xfId="9">
      <alignment horizontal="center" vertical="center"/>
    </xf>
    <xf numFmtId="0" fontId="0" fillId="49" borderId="9" xfId="0" applyFill="1" applyBorder="1" applyAlignment="1">
      <alignment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DAC0C0"/>
      <color rgb="FFECE0E0"/>
      <color rgb="FFDFEDE1"/>
      <color rgb="FFBEDCC9"/>
      <color rgb="FF215881"/>
      <color rgb="FF42648A"/>
      <color rgb="FF969696"/>
      <color rgb="FFC0C0C0"/>
      <color rgb="FF427FC2"/>
      <color rgb="FF4467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N57"/>
  <sheetViews>
    <sheetView showGridLines="0" tabSelected="1" showRuler="0" zoomScale="85" zoomScaleNormal="85" zoomScalePageLayoutView="70" workbookViewId="0">
      <pane ySplit="6" topLeftCell="A47" activePane="bottomLeft" state="frozen"/>
      <selection pane="bottomLeft" activeCell="G53" sqref="G53"/>
    </sheetView>
  </sheetViews>
  <sheetFormatPr baseColWidth="10" defaultColWidth="9.140625" defaultRowHeight="30" customHeight="1" x14ac:dyDescent="0.25"/>
  <cols>
    <col min="1" max="1" width="2.7109375" style="29" customWidth="1"/>
    <col min="2" max="2" width="93.85546875" bestFit="1" customWidth="1"/>
    <col min="3" max="5" width="32.85546875" customWidth="1"/>
    <col min="6" max="6" width="16" customWidth="1"/>
    <col min="7" max="7" width="10.42578125" style="5" customWidth="1"/>
    <col min="8" max="8" width="10.42578125" customWidth="1"/>
    <col min="9" max="9" width="2.7109375" customWidth="1"/>
    <col min="10" max="10" width="9.5703125" hidden="1" customWidth="1"/>
    <col min="11" max="13" width="2.5703125" customWidth="1"/>
    <col min="14" max="14" width="17.28515625" customWidth="1"/>
    <col min="15" max="66" width="2.5703125" customWidth="1"/>
    <col min="71" max="72" width="10.28515625"/>
  </cols>
  <sheetData>
    <row r="1" spans="1:66" ht="30" customHeight="1" x14ac:dyDescent="0.45">
      <c r="A1" s="30" t="s">
        <v>0</v>
      </c>
      <c r="B1" s="33" t="s">
        <v>82</v>
      </c>
      <c r="C1" s="1"/>
      <c r="D1" s="1"/>
      <c r="E1" s="1"/>
      <c r="F1" s="2"/>
      <c r="G1" s="4"/>
      <c r="H1" s="28"/>
      <c r="J1" s="2"/>
      <c r="K1" s="48"/>
    </row>
    <row r="2" spans="1:66" ht="30" customHeight="1" x14ac:dyDescent="0.3">
      <c r="A2" s="29" t="s">
        <v>1</v>
      </c>
      <c r="B2" s="34" t="s">
        <v>2</v>
      </c>
      <c r="K2" s="49"/>
    </row>
    <row r="3" spans="1:66" ht="37.5" x14ac:dyDescent="0.25">
      <c r="A3" s="29" t="s">
        <v>3</v>
      </c>
      <c r="B3" s="65" t="s">
        <v>4</v>
      </c>
      <c r="C3" s="102" t="s">
        <v>5</v>
      </c>
      <c r="D3" s="102"/>
      <c r="E3" s="102"/>
      <c r="F3" s="103"/>
      <c r="G3" s="107">
        <f>DATE(2026,4,23)</f>
        <v>46135</v>
      </c>
      <c r="H3" s="107"/>
    </row>
    <row r="4" spans="1:66" ht="30" customHeight="1" x14ac:dyDescent="0.25">
      <c r="A4" s="30" t="s">
        <v>6</v>
      </c>
      <c r="C4" s="102" t="s">
        <v>7</v>
      </c>
      <c r="D4" s="102"/>
      <c r="E4" s="102"/>
      <c r="F4" s="103"/>
      <c r="G4" s="7">
        <v>1</v>
      </c>
      <c r="K4" s="104">
        <f>K5</f>
        <v>46132</v>
      </c>
      <c r="L4" s="105"/>
      <c r="M4" s="105"/>
      <c r="N4" s="105"/>
      <c r="O4" s="105"/>
      <c r="P4" s="105"/>
      <c r="Q4" s="106"/>
      <c r="R4" s="104">
        <f>R5</f>
        <v>46139</v>
      </c>
      <c r="S4" s="105"/>
      <c r="T4" s="105"/>
      <c r="U4" s="105"/>
      <c r="V4" s="105"/>
      <c r="W4" s="105"/>
      <c r="X4" s="106"/>
      <c r="Y4" s="104">
        <f>Y5</f>
        <v>46146</v>
      </c>
      <c r="Z4" s="105"/>
      <c r="AA4" s="105"/>
      <c r="AB4" s="105"/>
      <c r="AC4" s="105"/>
      <c r="AD4" s="105"/>
      <c r="AE4" s="106"/>
      <c r="AF4" s="104">
        <f>AF5</f>
        <v>46153</v>
      </c>
      <c r="AG4" s="105"/>
      <c r="AH4" s="105"/>
      <c r="AI4" s="105"/>
      <c r="AJ4" s="105"/>
      <c r="AK4" s="105"/>
      <c r="AL4" s="106"/>
      <c r="AM4" s="104">
        <f>AM5</f>
        <v>46160</v>
      </c>
      <c r="AN4" s="105"/>
      <c r="AO4" s="105"/>
      <c r="AP4" s="105"/>
      <c r="AQ4" s="105"/>
      <c r="AR4" s="105"/>
      <c r="AS4" s="106"/>
      <c r="AT4" s="104">
        <f>AT5</f>
        <v>46167</v>
      </c>
      <c r="AU4" s="105"/>
      <c r="AV4" s="105"/>
      <c r="AW4" s="105"/>
      <c r="AX4" s="105"/>
      <c r="AY4" s="105"/>
      <c r="AZ4" s="106"/>
      <c r="BA4" s="104">
        <f>BA5</f>
        <v>46174</v>
      </c>
      <c r="BB4" s="105"/>
      <c r="BC4" s="105"/>
      <c r="BD4" s="105"/>
      <c r="BE4" s="105"/>
      <c r="BF4" s="105"/>
      <c r="BG4" s="106"/>
      <c r="BH4" s="104">
        <f>BH5</f>
        <v>46181</v>
      </c>
      <c r="BI4" s="105"/>
      <c r="BJ4" s="105"/>
      <c r="BK4" s="105"/>
      <c r="BL4" s="105"/>
      <c r="BM4" s="105"/>
      <c r="BN4" s="106"/>
    </row>
    <row r="5" spans="1:66" ht="15" customHeight="1" x14ac:dyDescent="0.25">
      <c r="A5" s="30" t="s">
        <v>8</v>
      </c>
      <c r="B5" s="47"/>
      <c r="C5" s="47"/>
      <c r="D5" s="47"/>
      <c r="E5" s="47"/>
      <c r="F5" s="47"/>
      <c r="G5" s="47"/>
      <c r="H5" s="47"/>
      <c r="I5" s="47"/>
      <c r="K5" s="62">
        <f>Début_Projet-WEEKDAY(Début_Projet,1)+2+7*(Semaine_Affichage-1)</f>
        <v>46132</v>
      </c>
      <c r="L5" s="63">
        <f>K5+1</f>
        <v>46133</v>
      </c>
      <c r="M5" s="63">
        <f t="shared" ref="M5:AZ5" si="0">L5+1</f>
        <v>46134</v>
      </c>
      <c r="N5" s="63">
        <f t="shared" si="0"/>
        <v>46135</v>
      </c>
      <c r="O5" s="63">
        <f t="shared" si="0"/>
        <v>46136</v>
      </c>
      <c r="P5" s="63">
        <f t="shared" si="0"/>
        <v>46137</v>
      </c>
      <c r="Q5" s="64">
        <f t="shared" si="0"/>
        <v>46138</v>
      </c>
      <c r="R5" s="62">
        <f>Q5+1</f>
        <v>46139</v>
      </c>
      <c r="S5" s="63">
        <f>R5+1</f>
        <v>46140</v>
      </c>
      <c r="T5" s="63">
        <f t="shared" si="0"/>
        <v>46141</v>
      </c>
      <c r="U5" s="63">
        <f t="shared" si="0"/>
        <v>46142</v>
      </c>
      <c r="V5" s="63">
        <f t="shared" si="0"/>
        <v>46143</v>
      </c>
      <c r="W5" s="63">
        <f t="shared" si="0"/>
        <v>46144</v>
      </c>
      <c r="X5" s="64">
        <f t="shared" si="0"/>
        <v>46145</v>
      </c>
      <c r="Y5" s="62">
        <f>X5+1</f>
        <v>46146</v>
      </c>
      <c r="Z5" s="63">
        <f>Y5+1</f>
        <v>46147</v>
      </c>
      <c r="AA5" s="63">
        <f t="shared" si="0"/>
        <v>46148</v>
      </c>
      <c r="AB5" s="63">
        <f t="shared" si="0"/>
        <v>46149</v>
      </c>
      <c r="AC5" s="63">
        <f t="shared" si="0"/>
        <v>46150</v>
      </c>
      <c r="AD5" s="63">
        <f t="shared" si="0"/>
        <v>46151</v>
      </c>
      <c r="AE5" s="64">
        <f t="shared" si="0"/>
        <v>46152</v>
      </c>
      <c r="AF5" s="62">
        <f>AE5+1</f>
        <v>46153</v>
      </c>
      <c r="AG5" s="63">
        <f>AF5+1</f>
        <v>46154</v>
      </c>
      <c r="AH5" s="63">
        <f t="shared" si="0"/>
        <v>46155</v>
      </c>
      <c r="AI5" s="63">
        <f t="shared" si="0"/>
        <v>46156</v>
      </c>
      <c r="AJ5" s="63">
        <f t="shared" si="0"/>
        <v>46157</v>
      </c>
      <c r="AK5" s="63">
        <f t="shared" si="0"/>
        <v>46158</v>
      </c>
      <c r="AL5" s="64">
        <f t="shared" si="0"/>
        <v>46159</v>
      </c>
      <c r="AM5" s="62">
        <f>AL5+1</f>
        <v>46160</v>
      </c>
      <c r="AN5" s="63">
        <f>AM5+1</f>
        <v>46161</v>
      </c>
      <c r="AO5" s="63">
        <f t="shared" si="0"/>
        <v>46162</v>
      </c>
      <c r="AP5" s="63">
        <f t="shared" si="0"/>
        <v>46163</v>
      </c>
      <c r="AQ5" s="63">
        <f t="shared" si="0"/>
        <v>46164</v>
      </c>
      <c r="AR5" s="63">
        <f t="shared" si="0"/>
        <v>46165</v>
      </c>
      <c r="AS5" s="64">
        <f t="shared" si="0"/>
        <v>46166</v>
      </c>
      <c r="AT5" s="62">
        <f>AS5+1</f>
        <v>46167</v>
      </c>
      <c r="AU5" s="63">
        <f>AT5+1</f>
        <v>46168</v>
      </c>
      <c r="AV5" s="63">
        <f t="shared" si="0"/>
        <v>46169</v>
      </c>
      <c r="AW5" s="63">
        <f t="shared" si="0"/>
        <v>46170</v>
      </c>
      <c r="AX5" s="63">
        <f t="shared" si="0"/>
        <v>46171</v>
      </c>
      <c r="AY5" s="63">
        <f t="shared" si="0"/>
        <v>46172</v>
      </c>
      <c r="AZ5" s="64">
        <f t="shared" si="0"/>
        <v>46173</v>
      </c>
      <c r="BA5" s="62">
        <f>AZ5+1</f>
        <v>46174</v>
      </c>
      <c r="BB5" s="63">
        <f>BA5+1</f>
        <v>46175</v>
      </c>
      <c r="BC5" s="63">
        <f t="shared" ref="BC5:BG5" si="1">BB5+1</f>
        <v>46176</v>
      </c>
      <c r="BD5" s="63">
        <f t="shared" si="1"/>
        <v>46177</v>
      </c>
      <c r="BE5" s="63">
        <f t="shared" si="1"/>
        <v>46178</v>
      </c>
      <c r="BF5" s="63">
        <f t="shared" si="1"/>
        <v>46179</v>
      </c>
      <c r="BG5" s="64">
        <f t="shared" si="1"/>
        <v>46180</v>
      </c>
      <c r="BH5" s="62">
        <f>BG5+1</f>
        <v>46181</v>
      </c>
      <c r="BI5" s="63">
        <f>BH5+1</f>
        <v>46182</v>
      </c>
      <c r="BJ5" s="63">
        <f t="shared" ref="BJ5:BN5" si="2">BI5+1</f>
        <v>46183</v>
      </c>
      <c r="BK5" s="63">
        <f t="shared" si="2"/>
        <v>46184</v>
      </c>
      <c r="BL5" s="63">
        <f t="shared" si="2"/>
        <v>46185</v>
      </c>
      <c r="BM5" s="63">
        <f t="shared" si="2"/>
        <v>46186</v>
      </c>
      <c r="BN5" s="64">
        <f t="shared" si="2"/>
        <v>46187</v>
      </c>
    </row>
    <row r="6" spans="1:66" ht="30" customHeight="1" thickBot="1" x14ac:dyDescent="0.3">
      <c r="A6" s="30" t="s">
        <v>9</v>
      </c>
      <c r="B6" s="8" t="s">
        <v>10</v>
      </c>
      <c r="C6" s="9" t="s">
        <v>11</v>
      </c>
      <c r="D6" s="9" t="s">
        <v>85</v>
      </c>
      <c r="E6" s="9" t="s">
        <v>12</v>
      </c>
      <c r="F6" s="9" t="s">
        <v>13</v>
      </c>
      <c r="G6" s="9" t="s">
        <v>14</v>
      </c>
      <c r="H6" s="9" t="s">
        <v>15</v>
      </c>
      <c r="I6" s="9"/>
      <c r="J6" s="9" t="s">
        <v>16</v>
      </c>
      <c r="K6" s="10" t="str">
        <f t="shared" ref="K6:AP6" si="3">LEFT(TEXT(K5,"jjj"),1)</f>
        <v>l</v>
      </c>
      <c r="L6" s="10" t="str">
        <f t="shared" si="3"/>
        <v>m</v>
      </c>
      <c r="M6" s="10" t="str">
        <f t="shared" si="3"/>
        <v>m</v>
      </c>
      <c r="N6" s="10" t="str">
        <f t="shared" si="3"/>
        <v>j</v>
      </c>
      <c r="O6" s="10" t="str">
        <f t="shared" si="3"/>
        <v>v</v>
      </c>
      <c r="P6" s="10" t="str">
        <f t="shared" si="3"/>
        <v>s</v>
      </c>
      <c r="Q6" s="10" t="str">
        <f t="shared" si="3"/>
        <v>d</v>
      </c>
      <c r="R6" s="10" t="str">
        <f t="shared" si="3"/>
        <v>l</v>
      </c>
      <c r="S6" s="10" t="str">
        <f t="shared" si="3"/>
        <v>m</v>
      </c>
      <c r="T6" s="10" t="str">
        <f t="shared" si="3"/>
        <v>m</v>
      </c>
      <c r="U6" s="10" t="str">
        <f t="shared" si="3"/>
        <v>j</v>
      </c>
      <c r="V6" s="10" t="str">
        <f t="shared" si="3"/>
        <v>v</v>
      </c>
      <c r="W6" s="10" t="str">
        <f t="shared" si="3"/>
        <v>s</v>
      </c>
      <c r="X6" s="10" t="str">
        <f t="shared" si="3"/>
        <v>d</v>
      </c>
      <c r="Y6" s="10" t="str">
        <f t="shared" si="3"/>
        <v>l</v>
      </c>
      <c r="Z6" s="10" t="str">
        <f t="shared" si="3"/>
        <v>m</v>
      </c>
      <c r="AA6" s="10" t="str">
        <f t="shared" si="3"/>
        <v>m</v>
      </c>
      <c r="AB6" s="10" t="str">
        <f t="shared" si="3"/>
        <v>j</v>
      </c>
      <c r="AC6" s="10" t="str">
        <f t="shared" si="3"/>
        <v>v</v>
      </c>
      <c r="AD6" s="10" t="str">
        <f t="shared" si="3"/>
        <v>s</v>
      </c>
      <c r="AE6" s="10" t="str">
        <f t="shared" si="3"/>
        <v>d</v>
      </c>
      <c r="AF6" s="10" t="str">
        <f t="shared" si="3"/>
        <v>l</v>
      </c>
      <c r="AG6" s="10" t="str">
        <f t="shared" si="3"/>
        <v>m</v>
      </c>
      <c r="AH6" s="10" t="str">
        <f t="shared" si="3"/>
        <v>m</v>
      </c>
      <c r="AI6" s="10" t="str">
        <f t="shared" si="3"/>
        <v>j</v>
      </c>
      <c r="AJ6" s="10" t="str">
        <f t="shared" si="3"/>
        <v>v</v>
      </c>
      <c r="AK6" s="10" t="str">
        <f t="shared" si="3"/>
        <v>s</v>
      </c>
      <c r="AL6" s="10" t="str">
        <f t="shared" si="3"/>
        <v>d</v>
      </c>
      <c r="AM6" s="10" t="str">
        <f t="shared" si="3"/>
        <v>l</v>
      </c>
      <c r="AN6" s="10" t="str">
        <f t="shared" si="3"/>
        <v>m</v>
      </c>
      <c r="AO6" s="10" t="str">
        <f t="shared" si="3"/>
        <v>m</v>
      </c>
      <c r="AP6" s="10" t="str">
        <f t="shared" si="3"/>
        <v>j</v>
      </c>
      <c r="AQ6" s="10" t="str">
        <f t="shared" ref="AQ6:BN6" si="4">LEFT(TEXT(AQ5,"jjj"),1)</f>
        <v>v</v>
      </c>
      <c r="AR6" s="10" t="str">
        <f t="shared" si="4"/>
        <v>s</v>
      </c>
      <c r="AS6" s="10" t="str">
        <f t="shared" si="4"/>
        <v>d</v>
      </c>
      <c r="AT6" s="10" t="str">
        <f t="shared" si="4"/>
        <v>l</v>
      </c>
      <c r="AU6" s="10" t="str">
        <f t="shared" si="4"/>
        <v>m</v>
      </c>
      <c r="AV6" s="10" t="str">
        <f t="shared" si="4"/>
        <v>m</v>
      </c>
      <c r="AW6" s="10" t="str">
        <f t="shared" si="4"/>
        <v>j</v>
      </c>
      <c r="AX6" s="10" t="str">
        <f t="shared" si="4"/>
        <v>v</v>
      </c>
      <c r="AY6" s="10" t="str">
        <f t="shared" si="4"/>
        <v>s</v>
      </c>
      <c r="AZ6" s="10" t="str">
        <f t="shared" si="4"/>
        <v>d</v>
      </c>
      <c r="BA6" s="10" t="str">
        <f t="shared" si="4"/>
        <v>l</v>
      </c>
      <c r="BB6" s="10" t="str">
        <f t="shared" si="4"/>
        <v>m</v>
      </c>
      <c r="BC6" s="10" t="str">
        <f t="shared" si="4"/>
        <v>m</v>
      </c>
      <c r="BD6" s="10" t="str">
        <f t="shared" si="4"/>
        <v>j</v>
      </c>
      <c r="BE6" s="10" t="str">
        <f t="shared" si="4"/>
        <v>v</v>
      </c>
      <c r="BF6" s="10" t="str">
        <f t="shared" si="4"/>
        <v>s</v>
      </c>
      <c r="BG6" s="10" t="str">
        <f t="shared" si="4"/>
        <v>d</v>
      </c>
      <c r="BH6" s="10" t="str">
        <f t="shared" si="4"/>
        <v>l</v>
      </c>
      <c r="BI6" s="10" t="str">
        <f t="shared" si="4"/>
        <v>m</v>
      </c>
      <c r="BJ6" s="10" t="str">
        <f t="shared" si="4"/>
        <v>m</v>
      </c>
      <c r="BK6" s="10" t="str">
        <f t="shared" si="4"/>
        <v>j</v>
      </c>
      <c r="BL6" s="10" t="str">
        <f t="shared" si="4"/>
        <v>v</v>
      </c>
      <c r="BM6" s="10" t="str">
        <f t="shared" si="4"/>
        <v>s</v>
      </c>
      <c r="BN6" s="10" t="str">
        <f t="shared" si="4"/>
        <v>d</v>
      </c>
    </row>
    <row r="7" spans="1:66" ht="15.75" hidden="1" thickBot="1" x14ac:dyDescent="0.3">
      <c r="A7" s="29" t="s">
        <v>17</v>
      </c>
      <c r="C7" s="32"/>
      <c r="D7" s="32"/>
      <c r="E7" s="32"/>
      <c r="G7"/>
      <c r="J7" t="str">
        <f>IF(OR(ISBLANK(début_tâche),ISBLANK(fin_tâche)),"",fin_tâche-début_tâche+1)</f>
        <v/>
      </c>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row>
    <row r="8" spans="1:66" s="3" customFormat="1" ht="30" customHeight="1" thickBot="1" x14ac:dyDescent="0.3">
      <c r="A8" s="30" t="s">
        <v>18</v>
      </c>
      <c r="B8" s="14" t="s">
        <v>40</v>
      </c>
      <c r="C8" s="35"/>
      <c r="D8" s="35"/>
      <c r="E8" s="35"/>
      <c r="F8" s="15"/>
      <c r="G8" s="50"/>
      <c r="H8" s="51"/>
      <c r="I8" s="13"/>
      <c r="J8" s="13" t="str">
        <f t="shared" ref="J8:J46" si="5">IF(OR(ISBLANK(début_tâche),ISBLANK(fin_tâche)),"",fin_tâche-début_tâche+1)</f>
        <v/>
      </c>
      <c r="K8" s="26"/>
      <c r="L8" s="26"/>
      <c r="M8" s="26"/>
      <c r="N8" s="26"/>
      <c r="O8" s="26"/>
      <c r="P8" s="26"/>
      <c r="Q8" s="26"/>
      <c r="R8" s="26"/>
      <c r="S8" s="26"/>
      <c r="T8" s="26"/>
      <c r="U8" s="108"/>
      <c r="V8" s="108"/>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row>
    <row r="9" spans="1:66" s="3" customFormat="1" ht="30" customHeight="1" thickBot="1" x14ac:dyDescent="0.3">
      <c r="A9" s="30" t="s">
        <v>19</v>
      </c>
      <c r="B9" s="43" t="s">
        <v>21</v>
      </c>
      <c r="C9" s="36" t="s">
        <v>31</v>
      </c>
      <c r="D9" s="36"/>
      <c r="E9" s="36" t="s">
        <v>33</v>
      </c>
      <c r="F9" s="16">
        <v>1</v>
      </c>
      <c r="G9" s="52">
        <f>Début_Projet</f>
        <v>46135</v>
      </c>
      <c r="H9" s="52">
        <f>Début_Projet</f>
        <v>46135</v>
      </c>
      <c r="I9" s="13"/>
      <c r="J9" s="13">
        <f t="shared" si="5"/>
        <v>1</v>
      </c>
      <c r="K9" s="26"/>
      <c r="L9" s="26"/>
      <c r="M9" s="26"/>
      <c r="N9" s="26"/>
      <c r="O9" s="26"/>
      <c r="P9" s="26"/>
      <c r="Q9" s="26"/>
      <c r="R9" s="26"/>
      <c r="S9" s="26"/>
      <c r="T9" s="26"/>
      <c r="U9" s="108"/>
      <c r="V9" s="108"/>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row>
    <row r="10" spans="1:66" s="3" customFormat="1" ht="30" customHeight="1" thickBot="1" x14ac:dyDescent="0.3">
      <c r="A10" s="30" t="s">
        <v>20</v>
      </c>
      <c r="B10" s="43" t="s">
        <v>22</v>
      </c>
      <c r="C10" s="36" t="s">
        <v>30</v>
      </c>
      <c r="D10" s="36"/>
      <c r="E10" s="36" t="s">
        <v>33</v>
      </c>
      <c r="F10" s="16">
        <v>0</v>
      </c>
      <c r="G10" s="52">
        <f>H9</f>
        <v>46135</v>
      </c>
      <c r="H10" s="52">
        <f>G10+2</f>
        <v>46137</v>
      </c>
      <c r="I10" s="13"/>
      <c r="J10" s="13">
        <f t="shared" si="5"/>
        <v>3</v>
      </c>
      <c r="K10" s="26"/>
      <c r="L10" s="26"/>
      <c r="M10" s="26"/>
      <c r="N10" s="26"/>
      <c r="O10" s="26"/>
      <c r="Q10" s="26"/>
      <c r="R10" s="26"/>
      <c r="S10" s="26"/>
      <c r="T10" s="26"/>
      <c r="U10" s="108"/>
      <c r="V10" s="108"/>
      <c r="W10" s="27"/>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row>
    <row r="11" spans="1:66" s="3" customFormat="1" ht="30" customHeight="1" thickBot="1" x14ac:dyDescent="0.3">
      <c r="A11" s="29"/>
      <c r="B11" s="100" t="s">
        <v>28</v>
      </c>
      <c r="C11" s="36" t="s">
        <v>36</v>
      </c>
      <c r="D11" s="36"/>
      <c r="E11" s="36" t="s">
        <v>33</v>
      </c>
      <c r="F11" s="16">
        <v>0.8</v>
      </c>
      <c r="G11" s="52">
        <f>H10</f>
        <v>46137</v>
      </c>
      <c r="H11" s="52">
        <v>46084</v>
      </c>
      <c r="I11" s="13"/>
      <c r="J11" s="13">
        <f t="shared" si="5"/>
        <v>-52</v>
      </c>
      <c r="K11" s="26"/>
      <c r="L11" s="26"/>
      <c r="M11" s="26"/>
      <c r="N11" s="26"/>
      <c r="O11" s="26"/>
      <c r="P11" s="26"/>
      <c r="Q11" s="26"/>
      <c r="R11" s="26"/>
      <c r="S11" s="26"/>
      <c r="T11" s="26"/>
      <c r="U11" s="108"/>
      <c r="V11" s="108"/>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row>
    <row r="12" spans="1:66" s="3" customFormat="1" ht="30" customHeight="1" thickBot="1" x14ac:dyDescent="0.3">
      <c r="A12" s="29"/>
      <c r="B12" s="43" t="s">
        <v>21</v>
      </c>
      <c r="C12" s="36" t="s">
        <v>29</v>
      </c>
      <c r="D12" s="36"/>
      <c r="E12" s="36" t="s">
        <v>33</v>
      </c>
      <c r="F12" s="16">
        <v>0.9</v>
      </c>
      <c r="G12" s="52">
        <v>46139</v>
      </c>
      <c r="H12" s="52">
        <v>46140</v>
      </c>
      <c r="I12" s="13"/>
      <c r="J12" s="13">
        <f t="shared" si="5"/>
        <v>2</v>
      </c>
      <c r="K12" s="26"/>
      <c r="L12" s="26"/>
      <c r="M12" s="26"/>
      <c r="N12" s="26"/>
      <c r="O12" s="26"/>
      <c r="P12" s="26"/>
      <c r="Q12" s="26"/>
      <c r="R12" s="26"/>
      <c r="S12" s="26"/>
      <c r="T12" s="26"/>
      <c r="U12" s="108"/>
      <c r="V12" s="108"/>
      <c r="W12" s="26"/>
      <c r="X12" s="26"/>
      <c r="Y12" s="26"/>
      <c r="Z12" s="26"/>
      <c r="AA12" s="27"/>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row>
    <row r="13" spans="1:66" s="3" customFormat="1" ht="30" customHeight="1" thickBot="1" x14ac:dyDescent="0.3">
      <c r="A13" s="30" t="s">
        <v>23</v>
      </c>
      <c r="B13" s="17" t="s">
        <v>39</v>
      </c>
      <c r="C13" s="37"/>
      <c r="D13" s="37"/>
      <c r="E13" s="37"/>
      <c r="F13" s="18"/>
      <c r="G13" s="53"/>
      <c r="H13" s="54"/>
      <c r="I13" s="13"/>
      <c r="J13" s="13" t="str">
        <f t="shared" si="5"/>
        <v/>
      </c>
      <c r="K13" s="26"/>
      <c r="L13" s="26"/>
      <c r="M13" s="26"/>
      <c r="N13" s="26"/>
      <c r="O13" s="26"/>
      <c r="P13" s="26"/>
      <c r="Q13" s="26"/>
      <c r="R13" s="26"/>
      <c r="S13" s="26"/>
      <c r="T13" s="26"/>
      <c r="U13" s="108"/>
      <c r="V13" s="108"/>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row>
    <row r="14" spans="1:66" s="3" customFormat="1" ht="30" customHeight="1" thickBot="1" x14ac:dyDescent="0.3">
      <c r="A14" s="30"/>
      <c r="B14" s="44" t="s">
        <v>45</v>
      </c>
      <c r="C14" s="38" t="s">
        <v>78</v>
      </c>
      <c r="D14" s="38"/>
      <c r="E14" s="38" t="s">
        <v>33</v>
      </c>
      <c r="F14" s="19">
        <v>0.2</v>
      </c>
      <c r="G14" s="55">
        <v>46139</v>
      </c>
      <c r="H14" s="55">
        <v>46140</v>
      </c>
      <c r="I14" s="13"/>
      <c r="J14" s="13">
        <f t="shared" si="5"/>
        <v>2</v>
      </c>
      <c r="K14" s="26"/>
      <c r="L14" s="26"/>
      <c r="M14" s="26"/>
      <c r="N14" s="26"/>
      <c r="O14" s="26"/>
      <c r="P14" s="26"/>
      <c r="Q14" s="26"/>
      <c r="R14" s="26"/>
      <c r="S14" s="26"/>
      <c r="T14" s="26"/>
      <c r="U14" s="108"/>
      <c r="V14" s="108"/>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row>
    <row r="15" spans="1:66" s="3" customFormat="1" ht="30" customHeight="1" thickBot="1" x14ac:dyDescent="0.3">
      <c r="A15" s="29"/>
      <c r="B15" s="44" t="s">
        <v>44</v>
      </c>
      <c r="C15" s="38" t="s">
        <v>78</v>
      </c>
      <c r="D15" s="38"/>
      <c r="E15" s="38" t="s">
        <v>33</v>
      </c>
      <c r="F15" s="19">
        <v>0</v>
      </c>
      <c r="G15" s="55" t="s">
        <v>24</v>
      </c>
      <c r="H15" s="55" t="s">
        <v>24</v>
      </c>
      <c r="I15" s="13"/>
      <c r="J15" s="13" t="e">
        <f t="shared" si="5"/>
        <v>#VALUE!</v>
      </c>
      <c r="K15" s="26"/>
      <c r="L15" s="26"/>
      <c r="M15" s="26"/>
      <c r="N15" s="26"/>
      <c r="O15" s="26"/>
      <c r="P15" s="26"/>
      <c r="Q15" s="26"/>
      <c r="R15" s="26"/>
      <c r="S15" s="26"/>
      <c r="T15" s="26"/>
      <c r="U15" s="108"/>
      <c r="V15" s="108"/>
      <c r="W15" s="27"/>
      <c r="X15" s="27"/>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row>
    <row r="16" spans="1:66" s="3" customFormat="1" ht="30" customHeight="1" thickBot="1" x14ac:dyDescent="0.3">
      <c r="A16" s="29"/>
      <c r="B16" s="44" t="s">
        <v>43</v>
      </c>
      <c r="C16" s="38" t="s">
        <v>79</v>
      </c>
      <c r="D16" s="38"/>
      <c r="E16" s="38" t="s">
        <v>33</v>
      </c>
      <c r="F16" s="19">
        <v>0</v>
      </c>
      <c r="G16" s="55" t="s">
        <v>24</v>
      </c>
      <c r="H16" s="55" t="s">
        <v>24</v>
      </c>
      <c r="I16" s="13"/>
      <c r="J16" s="13" t="e">
        <f t="shared" si="5"/>
        <v>#VALUE!</v>
      </c>
      <c r="K16" s="26"/>
      <c r="L16" s="26"/>
      <c r="M16" s="26"/>
      <c r="N16" s="26"/>
      <c r="O16" s="26"/>
      <c r="P16" s="26"/>
      <c r="Q16" s="26"/>
      <c r="R16" s="26"/>
      <c r="S16" s="26"/>
      <c r="T16" s="26"/>
      <c r="U16" s="108"/>
      <c r="V16" s="108"/>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row>
    <row r="17" spans="1:66" s="3" customFormat="1" ht="30" customHeight="1" thickBot="1" x14ac:dyDescent="0.3">
      <c r="A17" s="29"/>
      <c r="B17" s="44" t="s">
        <v>42</v>
      </c>
      <c r="C17" s="38" t="s">
        <v>31</v>
      </c>
      <c r="D17" s="38"/>
      <c r="E17" s="38"/>
      <c r="F17" s="19">
        <v>0</v>
      </c>
      <c r="G17" s="55" t="s">
        <v>24</v>
      </c>
      <c r="H17" s="55" t="s">
        <v>24</v>
      </c>
      <c r="I17" s="13"/>
      <c r="J17" s="13"/>
      <c r="K17" s="26"/>
      <c r="L17" s="26"/>
      <c r="M17" s="26"/>
      <c r="N17" s="26"/>
      <c r="O17" s="26"/>
      <c r="P17" s="26"/>
      <c r="Q17" s="26"/>
      <c r="R17" s="26"/>
      <c r="S17" s="26"/>
      <c r="T17" s="26"/>
      <c r="U17" s="108"/>
      <c r="V17" s="108"/>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row>
    <row r="18" spans="1:66" s="3" customFormat="1" ht="30" customHeight="1" thickBot="1" x14ac:dyDescent="0.3">
      <c r="A18" s="29"/>
      <c r="B18" s="44" t="s">
        <v>41</v>
      </c>
      <c r="C18" s="38" t="s">
        <v>31</v>
      </c>
      <c r="D18" s="38"/>
      <c r="E18" s="38"/>
      <c r="F18" s="19">
        <v>0</v>
      </c>
      <c r="G18" s="55" t="s">
        <v>24</v>
      </c>
      <c r="H18" s="55" t="s">
        <v>24</v>
      </c>
      <c r="I18" s="13"/>
      <c r="J18" s="13"/>
      <c r="K18" s="26"/>
      <c r="L18" s="26"/>
      <c r="M18" s="26"/>
      <c r="N18" s="26"/>
      <c r="O18" s="26"/>
      <c r="P18" s="26"/>
      <c r="Q18" s="26"/>
      <c r="R18" s="26"/>
      <c r="S18" s="26"/>
      <c r="T18" s="26"/>
      <c r="U18" s="108"/>
      <c r="V18" s="108"/>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row>
    <row r="19" spans="1:66" s="3" customFormat="1" ht="30" customHeight="1" thickBot="1" x14ac:dyDescent="0.3">
      <c r="A19" s="29" t="s">
        <v>25</v>
      </c>
      <c r="B19" s="20" t="s">
        <v>38</v>
      </c>
      <c r="C19" s="39"/>
      <c r="D19" s="39"/>
      <c r="E19" s="39"/>
      <c r="F19" s="21"/>
      <c r="G19" s="56"/>
      <c r="H19" s="57"/>
      <c r="I19" s="13"/>
      <c r="J19" s="13" t="str">
        <f t="shared" si="5"/>
        <v/>
      </c>
      <c r="K19" s="26"/>
      <c r="L19" s="26"/>
      <c r="M19" s="26"/>
      <c r="N19" s="26"/>
      <c r="O19" s="26"/>
      <c r="P19" s="26"/>
      <c r="Q19" s="26"/>
      <c r="R19" s="26"/>
      <c r="S19" s="26"/>
      <c r="T19" s="26"/>
      <c r="U19" s="108"/>
      <c r="V19" s="108"/>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row>
    <row r="20" spans="1:66" s="3" customFormat="1" ht="30" customHeight="1" thickBot="1" x14ac:dyDescent="0.3">
      <c r="A20" s="29"/>
      <c r="B20" s="45" t="s">
        <v>26</v>
      </c>
      <c r="C20" s="40" t="s">
        <v>80</v>
      </c>
      <c r="D20" s="40"/>
      <c r="E20" s="40" t="s">
        <v>33</v>
      </c>
      <c r="F20" s="22">
        <v>0</v>
      </c>
      <c r="G20" s="58" t="s">
        <v>24</v>
      </c>
      <c r="H20" s="58" t="s">
        <v>24</v>
      </c>
      <c r="I20" s="13"/>
      <c r="J20" s="13" t="e">
        <f t="shared" si="5"/>
        <v>#VALUE!</v>
      </c>
      <c r="K20" s="26"/>
      <c r="L20" s="26"/>
      <c r="M20" s="26"/>
      <c r="N20" s="26"/>
      <c r="O20" s="26"/>
      <c r="P20" s="26"/>
      <c r="Q20" s="26"/>
      <c r="R20" s="26"/>
      <c r="S20" s="26"/>
      <c r="T20" s="26"/>
      <c r="U20" s="108"/>
      <c r="V20" s="108"/>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row>
    <row r="21" spans="1:66" s="3" customFormat="1" ht="30" customHeight="1" thickBot="1" x14ac:dyDescent="0.3">
      <c r="A21" s="29"/>
      <c r="B21" s="45" t="s">
        <v>46</v>
      </c>
      <c r="C21" s="40" t="s">
        <v>79</v>
      </c>
      <c r="D21" s="40"/>
      <c r="E21" s="40"/>
      <c r="F21" s="22">
        <v>0</v>
      </c>
      <c r="G21" s="58" t="s">
        <v>24</v>
      </c>
      <c r="H21" s="58" t="s">
        <v>24</v>
      </c>
      <c r="I21" s="13"/>
      <c r="J21" s="13" t="e">
        <f t="shared" si="5"/>
        <v>#VALUE!</v>
      </c>
      <c r="K21" s="26"/>
      <c r="L21" s="26"/>
      <c r="M21" s="26"/>
      <c r="N21" s="26"/>
      <c r="O21" s="26"/>
      <c r="P21" s="26"/>
      <c r="Q21" s="26"/>
      <c r="R21" s="26"/>
      <c r="S21" s="26"/>
      <c r="T21" s="26"/>
      <c r="U21" s="108"/>
      <c r="V21" s="108"/>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row>
    <row r="22" spans="1:66" s="3" customFormat="1" ht="30" customHeight="1" thickBot="1" x14ac:dyDescent="0.3">
      <c r="A22" s="29"/>
      <c r="B22" s="45" t="s">
        <v>48</v>
      </c>
      <c r="C22" s="40" t="s">
        <v>81</v>
      </c>
      <c r="D22" s="40"/>
      <c r="E22" s="40"/>
      <c r="F22" s="22">
        <v>0</v>
      </c>
      <c r="G22" s="58" t="s">
        <v>24</v>
      </c>
      <c r="H22" s="58" t="s">
        <v>24</v>
      </c>
      <c r="I22" s="13"/>
      <c r="J22" s="13" t="e">
        <f t="shared" si="5"/>
        <v>#VALUE!</v>
      </c>
      <c r="K22" s="26"/>
      <c r="L22" s="26"/>
      <c r="M22" s="26"/>
      <c r="N22" s="26"/>
      <c r="O22" s="26"/>
      <c r="P22" s="26"/>
      <c r="Q22" s="26"/>
      <c r="R22" s="26"/>
      <c r="S22" s="26"/>
      <c r="T22" s="26"/>
      <c r="U22" s="108"/>
      <c r="V22" s="108"/>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row>
    <row r="23" spans="1:66" s="3" customFormat="1" ht="30" customHeight="1" thickBot="1" x14ac:dyDescent="0.3">
      <c r="A23" s="29"/>
      <c r="B23" s="45" t="s">
        <v>47</v>
      </c>
      <c r="C23" s="40" t="s">
        <v>79</v>
      </c>
      <c r="D23" s="40"/>
      <c r="E23" s="40"/>
      <c r="F23" s="22">
        <v>0</v>
      </c>
      <c r="G23" s="58" t="s">
        <v>24</v>
      </c>
      <c r="H23" s="58" t="s">
        <v>24</v>
      </c>
      <c r="I23" s="13"/>
      <c r="J23" s="13"/>
      <c r="K23" s="26"/>
      <c r="L23" s="26"/>
      <c r="M23" s="26"/>
      <c r="N23" s="26"/>
      <c r="O23" s="26"/>
      <c r="P23" s="26"/>
      <c r="Q23" s="26"/>
      <c r="R23" s="26"/>
      <c r="S23" s="26"/>
      <c r="T23" s="26"/>
      <c r="U23" s="108"/>
      <c r="V23" s="108"/>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row>
    <row r="24" spans="1:66" s="3" customFormat="1" ht="30" customHeight="1" thickBot="1" x14ac:dyDescent="0.3">
      <c r="A24" s="29" t="s">
        <v>25</v>
      </c>
      <c r="B24" s="23" t="s">
        <v>49</v>
      </c>
      <c r="C24" s="41"/>
      <c r="D24" s="41"/>
      <c r="E24" s="41"/>
      <c r="F24" s="24"/>
      <c r="G24" s="59"/>
      <c r="H24" s="60"/>
      <c r="I24" s="13"/>
      <c r="J24" s="13" t="str">
        <f t="shared" si="5"/>
        <v/>
      </c>
      <c r="K24" s="26"/>
      <c r="L24" s="26"/>
      <c r="M24" s="26"/>
      <c r="N24" s="26"/>
      <c r="O24" s="26"/>
      <c r="P24" s="26"/>
      <c r="Q24" s="26"/>
      <c r="R24" s="26"/>
      <c r="S24" s="26"/>
      <c r="T24" s="26"/>
      <c r="U24" s="108"/>
      <c r="V24" s="108"/>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row>
    <row r="25" spans="1:66" s="3" customFormat="1" ht="30" customHeight="1" thickBot="1" x14ac:dyDescent="0.3">
      <c r="A25" s="29"/>
      <c r="B25" s="46" t="s">
        <v>50</v>
      </c>
      <c r="C25" s="42" t="s">
        <v>79</v>
      </c>
      <c r="D25" s="42"/>
      <c r="E25" s="42"/>
      <c r="F25" s="25">
        <v>0</v>
      </c>
      <c r="G25" s="61" t="s">
        <v>24</v>
      </c>
      <c r="H25" s="61" t="s">
        <v>24</v>
      </c>
      <c r="I25" s="13"/>
      <c r="J25" s="13" t="e">
        <f t="shared" si="5"/>
        <v>#VALUE!</v>
      </c>
      <c r="K25" s="26"/>
      <c r="L25" s="26"/>
      <c r="M25" s="26"/>
      <c r="N25" s="26"/>
      <c r="O25" s="26"/>
      <c r="P25" s="26"/>
      <c r="Q25" s="26"/>
      <c r="R25" s="26"/>
      <c r="S25" s="26"/>
      <c r="T25" s="26"/>
      <c r="U25" s="108"/>
      <c r="V25" s="108"/>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row>
    <row r="26" spans="1:66" s="3" customFormat="1" ht="30" customHeight="1" thickBot="1" x14ac:dyDescent="0.3">
      <c r="A26" s="29"/>
      <c r="B26" s="46" t="s">
        <v>51</v>
      </c>
      <c r="C26" s="42" t="s">
        <v>79</v>
      </c>
      <c r="D26" s="42"/>
      <c r="E26" s="42"/>
      <c r="F26" s="25">
        <v>0</v>
      </c>
      <c r="G26" s="61" t="s">
        <v>24</v>
      </c>
      <c r="H26" s="61" t="s">
        <v>24</v>
      </c>
      <c r="I26" s="13"/>
      <c r="J26" s="13" t="e">
        <f t="shared" si="5"/>
        <v>#VALUE!</v>
      </c>
      <c r="K26" s="26"/>
      <c r="L26" s="26"/>
      <c r="M26" s="26"/>
      <c r="N26" s="26"/>
      <c r="O26" s="26"/>
      <c r="P26" s="26"/>
      <c r="Q26" s="26"/>
      <c r="R26" s="26"/>
      <c r="S26" s="26"/>
      <c r="T26" s="26"/>
      <c r="U26" s="108"/>
      <c r="V26" s="108"/>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row>
    <row r="27" spans="1:66" s="3" customFormat="1" ht="30" customHeight="1" thickBot="1" x14ac:dyDescent="0.3">
      <c r="A27" s="29"/>
      <c r="B27" s="46" t="s">
        <v>52</v>
      </c>
      <c r="C27" s="42" t="s">
        <v>31</v>
      </c>
      <c r="D27" s="42"/>
      <c r="E27" s="42"/>
      <c r="F27" s="25">
        <v>0</v>
      </c>
      <c r="G27" s="61" t="s">
        <v>24</v>
      </c>
      <c r="H27" s="61" t="s">
        <v>24</v>
      </c>
      <c r="I27" s="13"/>
      <c r="J27" s="13" t="e">
        <f t="shared" si="5"/>
        <v>#VALUE!</v>
      </c>
      <c r="K27" s="26"/>
      <c r="L27" s="26"/>
      <c r="M27" s="26"/>
      <c r="N27" s="26"/>
      <c r="O27" s="26"/>
      <c r="P27" s="26"/>
      <c r="Q27" s="26"/>
      <c r="R27" s="26"/>
      <c r="S27" s="26"/>
      <c r="T27" s="26"/>
      <c r="U27" s="108"/>
      <c r="V27" s="108"/>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row>
    <row r="28" spans="1:66" s="3" customFormat="1" ht="30" customHeight="1" thickBot="1" x14ac:dyDescent="0.3">
      <c r="A28" s="29"/>
      <c r="B28" s="46" t="s">
        <v>53</v>
      </c>
      <c r="C28" s="42" t="s">
        <v>31</v>
      </c>
      <c r="D28" s="42"/>
      <c r="E28" s="42"/>
      <c r="F28" s="25">
        <v>0</v>
      </c>
      <c r="G28" s="61" t="s">
        <v>24</v>
      </c>
      <c r="H28" s="61" t="s">
        <v>24</v>
      </c>
      <c r="I28" s="13"/>
      <c r="J28" s="13"/>
      <c r="K28" s="26"/>
      <c r="L28" s="26"/>
      <c r="M28" s="26"/>
      <c r="N28" s="26"/>
      <c r="O28" s="26"/>
      <c r="P28" s="26"/>
      <c r="Q28" s="26"/>
      <c r="R28" s="26"/>
      <c r="S28" s="26"/>
      <c r="T28" s="26"/>
      <c r="U28" s="108"/>
      <c r="V28" s="108"/>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row>
    <row r="29" spans="1:66" s="3" customFormat="1" ht="30" customHeight="1" thickBot="1" x14ac:dyDescent="0.3">
      <c r="A29" s="29"/>
      <c r="B29" s="69" t="s">
        <v>54</v>
      </c>
      <c r="C29" s="66"/>
      <c r="D29" s="66"/>
      <c r="E29" s="66"/>
      <c r="F29" s="67"/>
      <c r="G29" s="68"/>
      <c r="H29" s="68"/>
      <c r="I29" s="13"/>
      <c r="J29" s="13"/>
      <c r="K29" s="26"/>
      <c r="L29" s="26"/>
      <c r="M29" s="26"/>
      <c r="N29" s="26"/>
      <c r="O29" s="26"/>
      <c r="P29" s="26"/>
      <c r="Q29" s="26"/>
      <c r="R29" s="26"/>
      <c r="S29" s="26"/>
      <c r="T29" s="26"/>
      <c r="U29" s="108"/>
      <c r="V29" s="108"/>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row>
    <row r="30" spans="1:66" s="3" customFormat="1" ht="30" customHeight="1" thickBot="1" x14ac:dyDescent="0.3">
      <c r="A30" s="29"/>
      <c r="B30" s="74" t="s">
        <v>55</v>
      </c>
      <c r="C30" s="75" t="s">
        <v>80</v>
      </c>
      <c r="D30" s="75"/>
      <c r="E30" s="75"/>
      <c r="F30" s="76">
        <v>0</v>
      </c>
      <c r="G30" s="77" t="s">
        <v>24</v>
      </c>
      <c r="H30" s="77" t="s">
        <v>24</v>
      </c>
      <c r="I30" s="13"/>
      <c r="J30" s="13"/>
      <c r="K30" s="26"/>
      <c r="L30" s="26"/>
      <c r="M30" s="26"/>
      <c r="N30" s="26"/>
      <c r="O30" s="26"/>
      <c r="P30" s="26"/>
      <c r="Q30" s="26"/>
      <c r="R30" s="26"/>
      <c r="S30" s="26"/>
      <c r="T30" s="26"/>
      <c r="U30" s="108"/>
      <c r="V30" s="108"/>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row>
    <row r="31" spans="1:66" s="3" customFormat="1" ht="30" customHeight="1" thickBot="1" x14ac:dyDescent="0.3">
      <c r="A31" s="29" t="s">
        <v>27</v>
      </c>
      <c r="B31" s="74" t="s">
        <v>56</v>
      </c>
      <c r="C31" s="75" t="s">
        <v>79</v>
      </c>
      <c r="D31" s="75"/>
      <c r="E31" s="75"/>
      <c r="F31" s="76">
        <v>0</v>
      </c>
      <c r="G31" s="77" t="s">
        <v>24</v>
      </c>
      <c r="H31" s="77" t="s">
        <v>24</v>
      </c>
      <c r="I31" s="13"/>
      <c r="J31" s="13" t="e">
        <f t="shared" si="5"/>
        <v>#VALUE!</v>
      </c>
      <c r="K31" s="26"/>
      <c r="L31" s="26"/>
      <c r="M31" s="26"/>
      <c r="N31" s="26"/>
      <c r="O31" s="26"/>
      <c r="P31" s="26"/>
      <c r="Q31" s="26"/>
      <c r="R31" s="26"/>
      <c r="S31" s="26"/>
      <c r="T31" s="26"/>
      <c r="U31" s="108"/>
      <c r="V31" s="108"/>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row>
    <row r="32" spans="1:66" s="3" customFormat="1" ht="30" customHeight="1" thickBot="1" x14ac:dyDescent="0.3">
      <c r="A32" s="29"/>
      <c r="B32" s="74" t="s">
        <v>57</v>
      </c>
      <c r="C32" s="75" t="s">
        <v>79</v>
      </c>
      <c r="D32" s="75"/>
      <c r="E32" s="75"/>
      <c r="F32" s="76">
        <v>0</v>
      </c>
      <c r="G32" s="77" t="s">
        <v>24</v>
      </c>
      <c r="H32" s="77" t="s">
        <v>24</v>
      </c>
      <c r="I32" s="13"/>
      <c r="J32" s="13"/>
      <c r="K32" s="26"/>
      <c r="L32" s="26"/>
      <c r="M32" s="26"/>
      <c r="N32" s="26"/>
      <c r="O32" s="26"/>
      <c r="P32" s="26"/>
      <c r="Q32" s="26"/>
      <c r="R32" s="26"/>
      <c r="S32" s="26"/>
      <c r="T32" s="26"/>
      <c r="U32" s="108"/>
      <c r="V32" s="108"/>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row>
    <row r="33" spans="1:66" s="3" customFormat="1" ht="30" customHeight="1" thickBot="1" x14ac:dyDescent="0.3">
      <c r="A33" s="29"/>
      <c r="B33" s="74" t="s">
        <v>58</v>
      </c>
      <c r="C33" s="75" t="s">
        <v>79</v>
      </c>
      <c r="D33" s="75"/>
      <c r="E33" s="75" t="s">
        <v>33</v>
      </c>
      <c r="F33" s="76">
        <v>0</v>
      </c>
      <c r="G33" s="77" t="s">
        <v>24</v>
      </c>
      <c r="H33" s="77" t="s">
        <v>24</v>
      </c>
      <c r="I33" s="13"/>
      <c r="J33" s="13"/>
      <c r="K33" s="26"/>
      <c r="L33" s="26"/>
      <c r="M33" s="26"/>
      <c r="N33" s="26"/>
      <c r="O33" s="26"/>
      <c r="P33" s="26"/>
      <c r="Q33" s="26"/>
      <c r="R33" s="26"/>
      <c r="S33" s="26"/>
      <c r="T33" s="26"/>
      <c r="U33" s="108"/>
      <c r="V33" s="108"/>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row>
    <row r="34" spans="1:66" s="3" customFormat="1" ht="30" customHeight="1" thickBot="1" x14ac:dyDescent="0.3">
      <c r="A34" s="29"/>
      <c r="B34" s="74" t="s">
        <v>59</v>
      </c>
      <c r="C34" s="75" t="s">
        <v>29</v>
      </c>
      <c r="D34" s="75"/>
      <c r="E34" s="75"/>
      <c r="F34" s="76">
        <v>0</v>
      </c>
      <c r="G34" s="77" t="s">
        <v>24</v>
      </c>
      <c r="H34" s="77" t="s">
        <v>24</v>
      </c>
      <c r="I34" s="13"/>
      <c r="J34" s="13"/>
      <c r="K34" s="26"/>
      <c r="L34" s="26"/>
      <c r="M34" s="26"/>
      <c r="N34" s="26"/>
      <c r="O34" s="26"/>
      <c r="P34" s="26"/>
      <c r="Q34" s="26"/>
      <c r="R34" s="26"/>
      <c r="S34" s="26"/>
      <c r="T34" s="26"/>
      <c r="U34" s="108"/>
      <c r="V34" s="108"/>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row>
    <row r="35" spans="1:66" s="3" customFormat="1" ht="30" customHeight="1" thickBot="1" x14ac:dyDescent="0.3">
      <c r="A35" s="29"/>
      <c r="B35" s="74" t="s">
        <v>60</v>
      </c>
      <c r="C35" s="75" t="s">
        <v>29</v>
      </c>
      <c r="D35" s="75"/>
      <c r="E35" s="75"/>
      <c r="F35" s="76">
        <v>0</v>
      </c>
      <c r="G35" s="77" t="s">
        <v>24</v>
      </c>
      <c r="H35" s="77" t="s">
        <v>24</v>
      </c>
      <c r="I35" s="13"/>
      <c r="J35" s="13"/>
      <c r="K35" s="26"/>
      <c r="L35" s="26"/>
      <c r="M35" s="26"/>
      <c r="N35" s="26"/>
      <c r="O35" s="26"/>
      <c r="P35" s="26"/>
      <c r="Q35" s="26"/>
      <c r="R35" s="26"/>
      <c r="S35" s="26"/>
      <c r="T35" s="26"/>
      <c r="U35" s="108"/>
      <c r="V35" s="108"/>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row>
    <row r="36" spans="1:66" s="3" customFormat="1" ht="30" customHeight="1" thickBot="1" x14ac:dyDescent="0.3">
      <c r="A36" s="29"/>
      <c r="B36" s="74" t="s">
        <v>61</v>
      </c>
      <c r="C36" s="75" t="s">
        <v>29</v>
      </c>
      <c r="D36" s="75"/>
      <c r="E36" s="75"/>
      <c r="F36" s="76">
        <v>0</v>
      </c>
      <c r="G36" s="77" t="s">
        <v>24</v>
      </c>
      <c r="H36" s="77" t="s">
        <v>24</v>
      </c>
      <c r="I36" s="13"/>
      <c r="J36" s="13"/>
      <c r="K36" s="26"/>
      <c r="L36" s="26"/>
      <c r="M36" s="26"/>
      <c r="N36" s="26"/>
      <c r="O36" s="26"/>
      <c r="P36" s="26"/>
      <c r="Q36" s="26"/>
      <c r="R36" s="26"/>
      <c r="S36" s="26"/>
      <c r="T36" s="26"/>
      <c r="U36" s="108"/>
      <c r="V36" s="108"/>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row>
    <row r="37" spans="1:66" s="3" customFormat="1" ht="30" customHeight="1" thickBot="1" x14ac:dyDescent="0.3">
      <c r="A37" s="29"/>
      <c r="B37" s="70" t="s">
        <v>37</v>
      </c>
      <c r="C37" s="71"/>
      <c r="D37" s="71"/>
      <c r="E37" s="71"/>
      <c r="F37" s="72"/>
      <c r="G37" s="73"/>
      <c r="H37" s="73"/>
      <c r="I37" s="13"/>
      <c r="J37" s="13"/>
      <c r="K37" s="26"/>
      <c r="L37" s="26"/>
      <c r="M37" s="26"/>
      <c r="N37" s="26"/>
      <c r="O37" s="26"/>
      <c r="P37" s="26"/>
      <c r="Q37" s="26"/>
      <c r="R37" s="26"/>
      <c r="S37" s="26"/>
      <c r="T37" s="26"/>
      <c r="U37" s="108"/>
      <c r="V37" s="108"/>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row>
    <row r="38" spans="1:66" s="3" customFormat="1" ht="30" customHeight="1" thickBot="1" x14ac:dyDescent="0.3">
      <c r="A38" s="29"/>
      <c r="B38" s="78" t="s">
        <v>62</v>
      </c>
      <c r="C38" s="79" t="s">
        <v>80</v>
      </c>
      <c r="D38" s="79"/>
      <c r="E38" s="79" t="s">
        <v>33</v>
      </c>
      <c r="F38" s="80">
        <v>0</v>
      </c>
      <c r="G38" s="81" t="s">
        <v>24</v>
      </c>
      <c r="H38" s="81" t="s">
        <v>24</v>
      </c>
      <c r="I38" s="13"/>
      <c r="J38" s="13"/>
      <c r="K38" s="26"/>
      <c r="L38" s="26"/>
      <c r="M38" s="26"/>
      <c r="N38" s="26"/>
      <c r="O38" s="26"/>
      <c r="P38" s="26"/>
      <c r="Q38" s="26"/>
      <c r="R38" s="26"/>
      <c r="S38" s="26"/>
      <c r="T38" s="26"/>
      <c r="U38" s="108"/>
      <c r="V38" s="108"/>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row>
    <row r="39" spans="1:66" s="3" customFormat="1" ht="30" customHeight="1" thickBot="1" x14ac:dyDescent="0.3">
      <c r="A39" s="29" t="s">
        <v>27</v>
      </c>
      <c r="B39" s="78" t="s">
        <v>63</v>
      </c>
      <c r="C39" s="79" t="s">
        <v>80</v>
      </c>
      <c r="D39" s="79"/>
      <c r="E39" s="79"/>
      <c r="F39" s="80">
        <v>0</v>
      </c>
      <c r="G39" s="81" t="s">
        <v>24</v>
      </c>
      <c r="H39" s="81" t="s">
        <v>24</v>
      </c>
      <c r="I39" s="13"/>
      <c r="J39" s="13" t="e">
        <f t="shared" si="5"/>
        <v>#VALUE!</v>
      </c>
      <c r="K39" s="26"/>
      <c r="L39" s="26"/>
      <c r="M39" s="26"/>
      <c r="N39" s="26"/>
      <c r="O39" s="26"/>
      <c r="P39" s="26"/>
      <c r="Q39" s="26"/>
      <c r="R39" s="26"/>
      <c r="S39" s="26"/>
      <c r="T39" s="26"/>
      <c r="U39" s="108"/>
      <c r="V39" s="108"/>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row>
    <row r="40" spans="1:66" s="3" customFormat="1" ht="30" customHeight="1" thickBot="1" x14ac:dyDescent="0.3">
      <c r="A40" s="29"/>
      <c r="B40" s="78" t="s">
        <v>64</v>
      </c>
      <c r="C40" s="79" t="s">
        <v>80</v>
      </c>
      <c r="D40" s="79"/>
      <c r="E40" s="79" t="s">
        <v>35</v>
      </c>
      <c r="F40" s="80">
        <v>0</v>
      </c>
      <c r="G40" s="81" t="s">
        <v>24</v>
      </c>
      <c r="H40" s="81" t="s">
        <v>24</v>
      </c>
      <c r="I40" s="13"/>
      <c r="J40" s="13"/>
      <c r="K40" s="26"/>
      <c r="L40" s="26"/>
      <c r="M40" s="26"/>
      <c r="N40" s="26"/>
      <c r="O40" s="26"/>
      <c r="P40" s="26"/>
      <c r="Q40" s="26"/>
      <c r="R40" s="26"/>
      <c r="S40" s="26"/>
      <c r="T40" s="26"/>
      <c r="U40" s="108"/>
      <c r="V40" s="108"/>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row>
    <row r="41" spans="1:66" s="3" customFormat="1" ht="30" customHeight="1" thickBot="1" x14ac:dyDescent="0.3">
      <c r="A41" s="29"/>
      <c r="B41" s="78" t="s">
        <v>65</v>
      </c>
      <c r="C41" s="79" t="s">
        <v>29</v>
      </c>
      <c r="D41" s="79"/>
      <c r="E41" s="79" t="s">
        <v>34</v>
      </c>
      <c r="F41" s="80">
        <v>0</v>
      </c>
      <c r="G41" s="81" t="s">
        <v>24</v>
      </c>
      <c r="H41" s="81" t="s">
        <v>24</v>
      </c>
      <c r="I41" s="13"/>
      <c r="J41" s="13"/>
      <c r="K41" s="26"/>
      <c r="L41" s="26"/>
      <c r="M41" s="26"/>
      <c r="N41" s="26"/>
      <c r="O41" s="26"/>
      <c r="P41" s="26"/>
      <c r="Q41" s="26"/>
      <c r="R41" s="26"/>
      <c r="S41" s="26"/>
      <c r="T41" s="26"/>
      <c r="U41" s="108"/>
      <c r="V41" s="108"/>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row>
    <row r="42" spans="1:66" s="3" customFormat="1" ht="30" customHeight="1" thickBot="1" x14ac:dyDescent="0.3">
      <c r="A42" s="29"/>
      <c r="B42" s="78" t="s">
        <v>66</v>
      </c>
      <c r="C42" s="79" t="s">
        <v>29</v>
      </c>
      <c r="D42" s="79"/>
      <c r="E42" s="79"/>
      <c r="F42" s="80">
        <v>0</v>
      </c>
      <c r="G42" s="81" t="s">
        <v>24</v>
      </c>
      <c r="H42" s="81" t="s">
        <v>24</v>
      </c>
      <c r="I42" s="13"/>
      <c r="J42" s="13"/>
      <c r="K42" s="26"/>
      <c r="L42" s="26"/>
      <c r="M42" s="26"/>
      <c r="N42" s="26"/>
      <c r="O42" s="26"/>
      <c r="P42" s="26"/>
      <c r="Q42" s="26"/>
      <c r="R42" s="26"/>
      <c r="S42" s="26"/>
      <c r="T42" s="26"/>
      <c r="U42" s="108"/>
      <c r="V42" s="108"/>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row>
    <row r="43" spans="1:66" s="3" customFormat="1" ht="30" customHeight="1" thickBot="1" x14ac:dyDescent="0.3">
      <c r="A43" s="29"/>
      <c r="B43" s="78" t="s">
        <v>67</v>
      </c>
      <c r="C43" s="79" t="s">
        <v>83</v>
      </c>
      <c r="D43" s="79"/>
      <c r="E43" s="79"/>
      <c r="F43" s="80">
        <v>0</v>
      </c>
      <c r="G43" s="81" t="s">
        <v>24</v>
      </c>
      <c r="H43" s="81" t="s">
        <v>24</v>
      </c>
      <c r="I43" s="13"/>
      <c r="J43" s="13"/>
      <c r="K43" s="26"/>
      <c r="L43" s="26"/>
      <c r="M43" s="26"/>
      <c r="N43" s="26"/>
      <c r="O43" s="26"/>
      <c r="P43" s="26"/>
      <c r="Q43" s="26"/>
      <c r="R43" s="26"/>
      <c r="S43" s="26"/>
      <c r="T43" s="26"/>
      <c r="U43" s="108"/>
      <c r="V43" s="108"/>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row>
    <row r="44" spans="1:66" s="3" customFormat="1" ht="30" customHeight="1" thickBot="1" x14ac:dyDescent="0.3">
      <c r="A44" s="29"/>
      <c r="B44" s="95" t="s">
        <v>68</v>
      </c>
      <c r="C44" s="96"/>
      <c r="D44" s="96"/>
      <c r="E44" s="96"/>
      <c r="F44" s="97"/>
      <c r="G44" s="98"/>
      <c r="H44" s="99"/>
      <c r="I44" s="13"/>
      <c r="J44" s="13"/>
      <c r="K44" s="26"/>
      <c r="L44" s="26"/>
      <c r="M44" s="26"/>
      <c r="N44" s="26"/>
      <c r="O44" s="26"/>
      <c r="P44" s="26"/>
      <c r="Q44" s="26"/>
      <c r="R44" s="26"/>
      <c r="S44" s="26"/>
      <c r="T44" s="26"/>
      <c r="U44" s="108"/>
      <c r="V44" s="108"/>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row>
    <row r="45" spans="1:66" s="3" customFormat="1" ht="30" customHeight="1" thickBot="1" x14ac:dyDescent="0.3">
      <c r="A45" s="29"/>
      <c r="B45" s="91" t="s">
        <v>69</v>
      </c>
      <c r="C45" s="92" t="s">
        <v>80</v>
      </c>
      <c r="D45" s="92"/>
      <c r="E45" s="92"/>
      <c r="F45" s="93">
        <v>0</v>
      </c>
      <c r="G45" s="94" t="s">
        <v>24</v>
      </c>
      <c r="H45" s="94" t="s">
        <v>24</v>
      </c>
      <c r="I45" s="13"/>
      <c r="J45" s="13"/>
      <c r="K45" s="26"/>
      <c r="L45" s="26"/>
      <c r="M45" s="26"/>
      <c r="N45" s="26"/>
      <c r="O45" s="26"/>
      <c r="P45" s="26"/>
      <c r="Q45" s="26"/>
      <c r="R45" s="26"/>
      <c r="S45" s="26"/>
      <c r="T45" s="26"/>
      <c r="U45" s="108"/>
      <c r="V45" s="108"/>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row>
    <row r="46" spans="1:66" s="3" customFormat="1" ht="30" customHeight="1" thickBot="1" x14ac:dyDescent="0.3">
      <c r="A46" s="29" t="s">
        <v>27</v>
      </c>
      <c r="B46" s="91" t="s">
        <v>70</v>
      </c>
      <c r="C46" s="92" t="s">
        <v>29</v>
      </c>
      <c r="D46" s="92"/>
      <c r="E46" s="92"/>
      <c r="F46" s="93">
        <v>0</v>
      </c>
      <c r="G46" s="94" t="s">
        <v>24</v>
      </c>
      <c r="H46" s="94" t="s">
        <v>24</v>
      </c>
      <c r="I46" s="13"/>
      <c r="J46" s="13" t="e">
        <f t="shared" si="5"/>
        <v>#VALUE!</v>
      </c>
      <c r="K46" s="26"/>
      <c r="L46" s="26"/>
      <c r="M46" s="26"/>
      <c r="N46" s="26"/>
      <c r="O46" s="26"/>
      <c r="P46" s="26"/>
      <c r="Q46" s="26"/>
      <c r="R46" s="26"/>
      <c r="S46" s="26"/>
      <c r="T46" s="26"/>
      <c r="U46" s="108"/>
      <c r="V46" s="108"/>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row>
    <row r="47" spans="1:66" s="3" customFormat="1" ht="30" customHeight="1" thickBot="1" x14ac:dyDescent="0.3">
      <c r="A47" s="29"/>
      <c r="B47" s="91" t="s">
        <v>71</v>
      </c>
      <c r="C47" s="92" t="s">
        <v>29</v>
      </c>
      <c r="D47" s="92"/>
      <c r="E47" s="92"/>
      <c r="F47" s="93">
        <v>0</v>
      </c>
      <c r="G47" s="94" t="s">
        <v>24</v>
      </c>
      <c r="H47" s="94" t="s">
        <v>24</v>
      </c>
      <c r="I47" s="13"/>
      <c r="J47" s="13"/>
      <c r="K47" s="26"/>
      <c r="L47" s="26"/>
      <c r="M47" s="26"/>
      <c r="N47" s="26"/>
      <c r="O47" s="26"/>
      <c r="P47" s="26"/>
      <c r="Q47" s="26"/>
      <c r="R47" s="26"/>
      <c r="S47" s="26"/>
      <c r="T47" s="26"/>
      <c r="U47" s="108"/>
      <c r="V47" s="108"/>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row>
    <row r="48" spans="1:66" s="3" customFormat="1" ht="30" customHeight="1" thickBot="1" x14ac:dyDescent="0.3">
      <c r="A48" s="29"/>
      <c r="B48" s="91" t="s">
        <v>72</v>
      </c>
      <c r="C48" s="92" t="s">
        <v>30</v>
      </c>
      <c r="D48" s="92"/>
      <c r="E48" s="92"/>
      <c r="F48" s="93">
        <v>0</v>
      </c>
      <c r="G48" s="94" t="s">
        <v>24</v>
      </c>
      <c r="H48" s="94" t="s">
        <v>24</v>
      </c>
      <c r="I48" s="13"/>
      <c r="J48" s="13"/>
      <c r="K48" s="26"/>
      <c r="L48" s="26"/>
      <c r="M48" s="26"/>
      <c r="N48" s="26"/>
      <c r="O48" s="26"/>
      <c r="P48" s="26"/>
      <c r="Q48" s="26"/>
      <c r="R48" s="26"/>
      <c r="S48" s="26"/>
      <c r="T48" s="26"/>
      <c r="U48" s="108"/>
      <c r="V48" s="108"/>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row>
    <row r="49" spans="1:66" s="3" customFormat="1" ht="30" customHeight="1" thickBot="1" x14ac:dyDescent="0.3">
      <c r="A49" s="29"/>
      <c r="B49" s="91" t="s">
        <v>73</v>
      </c>
      <c r="C49" s="92" t="s">
        <v>29</v>
      </c>
      <c r="D49" s="92"/>
      <c r="E49" s="92"/>
      <c r="F49" s="93">
        <v>0</v>
      </c>
      <c r="G49" s="94" t="s">
        <v>24</v>
      </c>
      <c r="H49" s="94" t="s">
        <v>24</v>
      </c>
      <c r="I49" s="13"/>
      <c r="J49" s="13"/>
      <c r="K49" s="26"/>
      <c r="L49" s="26"/>
      <c r="M49" s="26"/>
      <c r="N49" s="26"/>
      <c r="O49" s="26"/>
      <c r="P49" s="26"/>
      <c r="Q49" s="26"/>
      <c r="R49" s="26"/>
      <c r="S49" s="26"/>
      <c r="T49" s="26"/>
      <c r="U49" s="108"/>
      <c r="V49" s="108"/>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row>
    <row r="50" spans="1:66" s="3" customFormat="1" ht="30" customHeight="1" thickBot="1" x14ac:dyDescent="0.3">
      <c r="A50" s="29"/>
      <c r="B50" s="82" t="s">
        <v>74</v>
      </c>
      <c r="C50" s="83"/>
      <c r="D50" s="83"/>
      <c r="E50" s="83"/>
      <c r="F50" s="84"/>
      <c r="G50" s="85"/>
      <c r="H50" s="86"/>
      <c r="I50" s="13"/>
      <c r="J50" s="13"/>
      <c r="K50" s="26"/>
      <c r="L50" s="26"/>
      <c r="M50" s="26"/>
      <c r="N50" s="26"/>
      <c r="O50" s="26"/>
      <c r="P50" s="26"/>
      <c r="Q50" s="26"/>
      <c r="R50" s="26"/>
      <c r="S50" s="26"/>
      <c r="T50" s="26"/>
      <c r="U50" s="108"/>
      <c r="V50" s="108"/>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row>
    <row r="51" spans="1:66" s="3" customFormat="1" ht="30" customHeight="1" thickBot="1" x14ac:dyDescent="0.3">
      <c r="A51" s="29"/>
      <c r="B51" s="87" t="s">
        <v>32</v>
      </c>
      <c r="C51" s="88" t="s">
        <v>84</v>
      </c>
      <c r="D51" s="88"/>
      <c r="E51" s="88"/>
      <c r="F51" s="89">
        <v>0.1</v>
      </c>
      <c r="G51" s="90">
        <v>46135</v>
      </c>
      <c r="H51" s="90">
        <v>46163</v>
      </c>
      <c r="I51" s="13"/>
      <c r="J51" s="13"/>
      <c r="K51" s="26"/>
      <c r="L51" s="26"/>
      <c r="M51" s="26"/>
      <c r="N51" s="26"/>
      <c r="O51" s="26"/>
      <c r="P51" s="26"/>
      <c r="Q51" s="26"/>
      <c r="R51" s="26"/>
      <c r="S51" s="26"/>
      <c r="T51" s="26"/>
      <c r="U51" s="108"/>
      <c r="V51" s="108"/>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row>
    <row r="52" spans="1:66" s="3" customFormat="1" ht="30" customHeight="1" thickBot="1" x14ac:dyDescent="0.3">
      <c r="A52" s="29"/>
      <c r="B52" s="87" t="s">
        <v>75</v>
      </c>
      <c r="C52" s="88" t="s">
        <v>30</v>
      </c>
      <c r="D52" s="88"/>
      <c r="E52" s="88"/>
      <c r="F52" s="89">
        <v>0.12</v>
      </c>
      <c r="G52" s="90">
        <v>46135</v>
      </c>
      <c r="H52" s="90">
        <v>46163</v>
      </c>
      <c r="I52" s="13"/>
      <c r="J52" s="13"/>
      <c r="K52" s="26"/>
      <c r="L52" s="26"/>
      <c r="M52" s="26"/>
      <c r="N52" s="26"/>
      <c r="O52" s="26"/>
      <c r="P52" s="26"/>
      <c r="Q52" s="26"/>
      <c r="R52" s="26"/>
      <c r="S52" s="26"/>
      <c r="T52" s="26"/>
      <c r="U52" s="108"/>
      <c r="V52" s="108"/>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row>
    <row r="53" spans="1:66" s="3" customFormat="1" ht="30" customHeight="1" thickBot="1" x14ac:dyDescent="0.3">
      <c r="A53" s="29"/>
      <c r="B53" s="87" t="s">
        <v>76</v>
      </c>
      <c r="C53" s="88" t="s">
        <v>30</v>
      </c>
      <c r="D53" s="88"/>
      <c r="E53" s="88"/>
      <c r="F53" s="89">
        <v>0</v>
      </c>
      <c r="G53" s="90" t="s">
        <v>24</v>
      </c>
      <c r="H53" s="90" t="s">
        <v>24</v>
      </c>
      <c r="I53" s="13"/>
      <c r="J53" s="13"/>
      <c r="K53" s="26"/>
      <c r="L53" s="26"/>
      <c r="M53" s="26"/>
      <c r="N53" s="26"/>
      <c r="O53" s="26"/>
      <c r="P53" s="26"/>
      <c r="Q53" s="26"/>
      <c r="R53" s="26"/>
      <c r="S53" s="26"/>
      <c r="T53" s="26"/>
      <c r="U53" s="108"/>
      <c r="V53" s="108"/>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row>
    <row r="54" spans="1:66" s="3" customFormat="1" ht="30" customHeight="1" thickBot="1" x14ac:dyDescent="0.3">
      <c r="A54" s="29"/>
      <c r="B54" s="87" t="s">
        <v>77</v>
      </c>
      <c r="C54" s="88" t="s">
        <v>79</v>
      </c>
      <c r="D54" s="88"/>
      <c r="E54" s="88"/>
      <c r="F54" s="101">
        <v>0</v>
      </c>
      <c r="G54" s="90" t="s">
        <v>24</v>
      </c>
      <c r="H54" s="90" t="s">
        <v>24</v>
      </c>
      <c r="I54" s="13"/>
      <c r="J54" s="13"/>
      <c r="K54" s="26"/>
      <c r="L54" s="26"/>
      <c r="M54" s="26"/>
      <c r="N54" s="26"/>
      <c r="O54" s="26"/>
      <c r="P54" s="26"/>
      <c r="Q54" s="26"/>
      <c r="R54" s="26"/>
      <c r="S54" s="26"/>
      <c r="T54" s="26"/>
      <c r="U54" s="108"/>
      <c r="V54" s="108"/>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row>
    <row r="55" spans="1:66" ht="30" customHeight="1" x14ac:dyDescent="0.25">
      <c r="I55" s="6"/>
    </row>
    <row r="56" spans="1:66" ht="30" customHeight="1" x14ac:dyDescent="0.25">
      <c r="C56" s="11"/>
      <c r="D56" s="11"/>
      <c r="E56" s="11"/>
      <c r="H56" s="31"/>
    </row>
    <row r="57" spans="1:66" ht="30" customHeight="1" x14ac:dyDescent="0.25">
      <c r="C57" s="12"/>
      <c r="D57" s="12"/>
      <c r="E57" s="12"/>
    </row>
  </sheetData>
  <mergeCells count="11">
    <mergeCell ref="BH4:BN4"/>
    <mergeCell ref="G3:H3"/>
    <mergeCell ref="K4:Q4"/>
    <mergeCell ref="R4:X4"/>
    <mergeCell ref="Y4:AE4"/>
    <mergeCell ref="AF4:AL4"/>
    <mergeCell ref="C3:F3"/>
    <mergeCell ref="C4:F4"/>
    <mergeCell ref="AM4:AS4"/>
    <mergeCell ref="AT4:AZ4"/>
    <mergeCell ref="BA4:BG4"/>
  </mergeCells>
  <phoneticPr fontId="29" type="noConversion"/>
  <conditionalFormatting sqref="F7:F5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K5:BN9 K10:N10 K11:BN54 Q10:V10 Y10:BN10">
    <cfRule type="expression" dxfId="8" priority="33">
      <formula>AND(TODAY()&gt;=K$5,TODAY()&lt;L$5)</formula>
    </cfRule>
  </conditionalFormatting>
  <conditionalFormatting sqref="K7:BN9 K10:N10 K11:BN54 Q10:V10 Y10:BN10">
    <cfRule type="expression" dxfId="7" priority="27">
      <formula>AND(début_tâche&lt;=K$5,ROUNDDOWN((fin_tâche-début_tâche+1)*avancement_tâche,0)+début_tâche-1&gt;=K$5)</formula>
    </cfRule>
    <cfRule type="expression" dxfId="6" priority="28" stopIfTrue="1">
      <formula>AND(fin_tâche&gt;=K$5,début_tâche&lt;L$5)</formula>
    </cfRule>
  </conditionalFormatting>
  <conditionalFormatting sqref="O10">
    <cfRule type="expression" dxfId="5" priority="35">
      <formula>AND(TODAY()&gt;=P$5,TODAY()&lt;Q$5)</formula>
    </cfRule>
    <cfRule type="expression" dxfId="4" priority="38">
      <formula>AND(début_tâche&lt;=P$5,ROUNDDOWN((fin_tâche-début_tâche+1)*avancement_tâche,0)+début_tâche-1&gt;=P$5)</formula>
    </cfRule>
    <cfRule type="expression" dxfId="3" priority="39" stopIfTrue="1">
      <formula>AND(fin_tâche&gt;=P$5,début_tâche&lt;Q$5)</formula>
    </cfRule>
  </conditionalFormatting>
  <conditionalFormatting sqref="W10">
    <cfRule type="expression" dxfId="2" priority="41">
      <formula>AND(TODAY()&gt;=X$5,TODAY()&lt;Y$5)</formula>
    </cfRule>
  </conditionalFormatting>
  <conditionalFormatting sqref="W10">
    <cfRule type="expression" dxfId="1" priority="44">
      <formula>AND(début_tâche&lt;=X$5,ROUNDDOWN((fin_tâche-début_tâche+1)*avancement_tâche,0)+début_tâche-1&gt;=X$5)</formula>
    </cfRule>
    <cfRule type="expression" dxfId="0" priority="45" stopIfTrue="1">
      <formula>AND(fin_tâche&gt;=X$5,début_tâche&lt;Y$5)</formula>
    </cfRule>
  </conditionalFormatting>
  <dataValidations count="1">
    <dataValidation type="whole" operator="greaterThanOrEqual" allowBlank="1" showInputMessage="1" promptTitle="Semaine d’affichage" prompt="La modification de ce nombre entraînera la défilement du diagramme de Gantt." sqref="G4" xr:uid="{00000000-0002-0000-0000-000000000000}">
      <formula1>1</formula1>
    </dataValidation>
  </dataValidations>
  <printOptions horizontalCentered="1"/>
  <pageMargins left="0.35" right="0.35" top="0.35" bottom="0.5" header="0.3" footer="0.3"/>
  <pageSetup paperSize="9" scale="35" fitToHeight="0" orientation="landscape" r:id="rId1"/>
  <headerFooter differentFirst="1" scaleWithDoc="0">
    <oddFooter>Page &amp;P of &amp;N</oddFooter>
  </headerFooter>
  <colBreaks count="1" manualBreakCount="1">
    <brk id="2"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F7:F54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1</vt:i4>
      </vt:variant>
      <vt:variant>
        <vt:lpstr>Plages nommées</vt:lpstr>
      </vt:variant>
      <vt:variant>
        <vt:i4>6</vt:i4>
      </vt:variant>
    </vt:vector>
  </HeadingPairs>
  <TitlesOfParts>
    <vt:vector size="7" baseType="lpstr">
      <vt:lpstr>Pré-TPI - Nico Mengisen</vt:lpstr>
      <vt:lpstr>'Pré-TPI - Nico Mengisen'!avancement_tâche</vt:lpstr>
      <vt:lpstr>Début_Projet</vt:lpstr>
      <vt:lpstr>'Pré-TPI - Nico Mengisen'!début_tâche</vt:lpstr>
      <vt:lpstr>'Pré-TPI - Nico Mengisen'!fin_tâche</vt:lpstr>
      <vt:lpstr>'Pré-TPI - Nico Mengisen'!Impression_des_titres</vt:lpstr>
      <vt:lpstr>Semaine_Affichage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2026-04-27T14:40:10Z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